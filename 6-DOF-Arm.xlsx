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1B0041F7-5BF2-49D0-A8FA-7A3D94288924}" xr6:coauthVersionLast="47" xr6:coauthVersionMax="47" xr10:uidLastSave="{00000000-0000-0000-0000-000000000000}"/>
  <bookViews>
    <workbookView xWindow="-120" yWindow="-120" windowWidth="38640" windowHeight="23520" tabRatio="500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1" l="1"/>
  <c r="B38" i="1"/>
  <c r="K54" i="3" l="1"/>
  <c r="K55" i="3"/>
  <c r="K49" i="3"/>
  <c r="K52" i="3"/>
  <c r="K51" i="3"/>
  <c r="K48" i="3"/>
  <c r="K46" i="3"/>
  <c r="K41" i="3" s="1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D39" i="1"/>
  <c r="F39" i="1" s="1"/>
  <c r="D38" i="1"/>
  <c r="F38" i="1" s="1"/>
  <c r="B9" i="1"/>
  <c r="F44" i="1" l="1"/>
  <c r="F40" i="1"/>
  <c r="F54" i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F42" i="1"/>
  <c r="F41" i="1"/>
  <c r="F43" i="1"/>
  <c r="G45" i="1" l="1"/>
  <c r="B56" i="1" s="1"/>
  <c r="C56" i="1" s="1"/>
  <c r="F56" i="1" s="1"/>
  <c r="G56" i="1" s="1"/>
  <c r="F45" i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<sst xmlns="http://schemas.openxmlformats.org/spreadsheetml/2006/main" count="394" uniqueCount="319">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</sst>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0" fontId="3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abSelected="1" zoomScaleNormal="100" workbookViewId="0">
      <selection activeCell="B28" sqref="B28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89" t="s">
        <v>2</v>
      </c>
      <c r="B4" s="89"/>
      <c r="C4" s="89"/>
      <c r="D4" s="89"/>
      <c r="E4" s="89"/>
      <c r="F4" s="89"/>
      <c r="G4" s="89"/>
      <c r="H4" s="89"/>
      <c r="I4" s="89"/>
    </row>
    <row r="5" spans="1:9" x14ac:dyDescent="0.25">
      <c r="A5" s="3" t="s">
        <v>3</v>
      </c>
      <c r="B5" s="4">
        <v>0.25</v>
      </c>
      <c r="C5" s="3" t="s">
        <v>4</v>
      </c>
    </row>
    <row r="6" spans="1:9" x14ac:dyDescent="0.25">
      <c r="A6" s="3" t="s">
        <v>5</v>
      </c>
      <c r="B6" s="4">
        <v>7.0000000000000007E-2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89" t="s">
        <v>12</v>
      </c>
      <c r="B11" s="89"/>
      <c r="C11" s="89"/>
      <c r="D11" s="89"/>
      <c r="E11" s="89"/>
      <c r="F11" s="89"/>
      <c r="G11" s="89"/>
      <c r="H11" s="89"/>
      <c r="I11" s="89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89" t="s">
        <v>27</v>
      </c>
      <c r="B20" s="89"/>
      <c r="C20" s="89"/>
      <c r="D20" s="89"/>
      <c r="E20" s="89"/>
      <c r="F20" s="89"/>
      <c r="G20" s="89"/>
      <c r="H20" s="89"/>
      <c r="I20" s="89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89" t="s">
        <v>32</v>
      </c>
      <c r="B24" s="89"/>
      <c r="C24" s="89"/>
      <c r="D24" s="89"/>
      <c r="E24" s="89"/>
      <c r="F24" s="89"/>
      <c r="G24" s="89"/>
      <c r="H24" s="89"/>
      <c r="I24" s="89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0.65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89" t="s">
        <v>56</v>
      </c>
      <c r="B36" s="89"/>
      <c r="C36" s="89"/>
      <c r="D36" s="89"/>
      <c r="E36" s="89"/>
      <c r="F36" s="89"/>
      <c r="G36" s="89"/>
      <c r="H36" s="89"/>
      <c r="I36" s="89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0.125</v>
      </c>
      <c r="E38" s="15" t="s">
        <v>64</v>
      </c>
      <c r="F38" s="16">
        <f t="shared" ref="F38:F44" si="0">B38*$B$21*D38</f>
        <v>7.3575000000000002E-2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0.25</v>
      </c>
      <c r="E39" s="15" t="s">
        <v>64</v>
      </c>
      <c r="F39" s="16">
        <f>B39*$B$21*D39</f>
        <v>2.2072500000000002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0.28000000000000003</v>
      </c>
      <c r="E40" s="14">
        <f>B8</f>
        <v>0.03</v>
      </c>
      <c r="F40" s="16">
        <f t="shared" si="0"/>
        <v>0.32961600000000002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0.28500000000000003</v>
      </c>
      <c r="E41" s="14">
        <f>B6/2</f>
        <v>3.5000000000000003E-2</v>
      </c>
      <c r="F41" s="16">
        <f t="shared" si="0"/>
        <v>0.16775100000000001</v>
      </c>
      <c r="G41" s="16">
        <f>B41*$B$21*E41</f>
        <v>2.0601000000000001E-2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7.0000000000000007E-2</v>
      </c>
      <c r="F42" s="16">
        <f t="shared" si="0"/>
        <v>0.69062400000000013</v>
      </c>
      <c r="G42" s="16">
        <f>B42*$B$21*E42</f>
        <v>0.15107400000000004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0.11000000000000001</v>
      </c>
      <c r="F43" s="16">
        <f t="shared" si="0"/>
        <v>0.52973999999999999</v>
      </c>
      <c r="G43" s="16">
        <f>B43*$B$21*E43</f>
        <v>0.16186500000000004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0.15000000000000002</v>
      </c>
      <c r="F44" s="16">
        <f t="shared" si="0"/>
        <v>0.78480000000000016</v>
      </c>
      <c r="G44" s="16">
        <f>B44*$B$21*E44</f>
        <v>0.29430000000000006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4.7833560000000004</v>
      </c>
      <c r="G45" s="19">
        <f>SUM(G38:G44)</f>
        <v>0.66315600000000008</v>
      </c>
    </row>
    <row r="47" spans="1:9" x14ac:dyDescent="0.25">
      <c r="A47" s="89" t="s">
        <v>72</v>
      </c>
      <c r="B47" s="89"/>
      <c r="C47" s="89"/>
      <c r="D47" s="89"/>
      <c r="E47" s="89"/>
      <c r="F47" s="89"/>
      <c r="G47" s="89"/>
      <c r="H47" s="89"/>
      <c r="I47" s="89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89" t="s">
        <v>77</v>
      </c>
      <c r="B52" s="89"/>
      <c r="C52" s="89"/>
      <c r="D52" s="89"/>
      <c r="E52" s="89"/>
      <c r="F52" s="89"/>
      <c r="G52" s="89"/>
      <c r="H52" s="89"/>
      <c r="I52" s="89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2.9250000000000003</v>
      </c>
      <c r="F54" s="16">
        <f t="shared" ref="F54:F59" si="2">E54/C54</f>
        <v>3.9000000000000004</v>
      </c>
      <c r="G54" s="25" t="str">
        <f t="shared" ref="G54:G59" si="3">IF(F54&gt;=1,"PASS",IF(F54&gt;=0.85,"MARGINAL","UNDERSIZED"))</f>
        <v>PASS</v>
      </c>
      <c r="H54" s="26">
        <f>B26*B29*B28</f>
        <v>16.574999999999999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4.7833560000000004</v>
      </c>
      <c r="C55" s="16">
        <f t="shared" si="1"/>
        <v>7.1750340000000001</v>
      </c>
      <c r="D55" s="24">
        <f>B30</f>
        <v>30</v>
      </c>
      <c r="E55" s="16">
        <f>B25*B30*B28</f>
        <v>5.8500000000000005</v>
      </c>
      <c r="F55" s="16">
        <f t="shared" si="2"/>
        <v>0.81532714688181274</v>
      </c>
      <c r="G55" s="25" t="str">
        <f t="shared" si="3"/>
        <v>UNDERSIZED</v>
      </c>
      <c r="H55" s="26">
        <f>B26*B30*B28</f>
        <v>33.15</v>
      </c>
      <c r="I55" s="24">
        <f>B27/B30*6</f>
        <v>48</v>
      </c>
    </row>
    <row r="56" spans="1:9" x14ac:dyDescent="0.25">
      <c r="A56" s="13" t="s">
        <v>89</v>
      </c>
      <c r="B56" s="16">
        <f>G45</f>
        <v>0.66315600000000008</v>
      </c>
      <c r="C56" s="16">
        <f t="shared" si="1"/>
        <v>0.99473400000000012</v>
      </c>
      <c r="D56" s="24">
        <f>B31</f>
        <v>15</v>
      </c>
      <c r="E56" s="16">
        <f>B25*B31*B28</f>
        <v>2.9250000000000003</v>
      </c>
      <c r="F56" s="16">
        <f t="shared" si="2"/>
        <v>2.9404845918607387</v>
      </c>
      <c r="G56" s="25" t="str">
        <f t="shared" si="3"/>
        <v>PASS</v>
      </c>
      <c r="H56" s="26">
        <f>B26*B31*B28</f>
        <v>16.574999999999999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zoomScale="90" zoomScaleNormal="90" workbookViewId="0">
      <selection activeCell="G9" sqref="G9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1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1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1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1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1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1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1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1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180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1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</row>
    <row r="11" spans="1:11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1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5">
        <v>7.68</v>
      </c>
      <c r="K12" s="32">
        <f>I12*E12</f>
        <v>7.21</v>
      </c>
    </row>
    <row r="13" spans="1:11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87"/>
      <c r="K13" s="56"/>
    </row>
    <row r="14" spans="1:11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88"/>
      <c r="K14" s="32">
        <f>I14*E14</f>
        <v>38.97</v>
      </c>
    </row>
    <row r="15" spans="1:11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88"/>
      <c r="K15" s="32">
        <f t="shared" ref="K15:K25" si="0">I15*E15</f>
        <v>9.99</v>
      </c>
    </row>
    <row r="16" spans="1:11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88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87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88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88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87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88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65">
        <v>22.99</v>
      </c>
      <c r="F22" s="47" t="s">
        <v>247</v>
      </c>
      <c r="G22" s="81" t="s">
        <v>176</v>
      </c>
      <c r="H22" s="83">
        <v>46230</v>
      </c>
      <c r="I22" s="85">
        <v>1</v>
      </c>
      <c r="J22" s="88"/>
      <c r="K22" s="65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66"/>
      <c r="F23" s="47" t="s">
        <v>255</v>
      </c>
      <c r="G23" s="82"/>
      <c r="H23" s="84"/>
      <c r="I23" s="86"/>
      <c r="J23" s="88"/>
      <c r="K23" s="66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88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88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6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67" t="s">
        <v>233</v>
      </c>
      <c r="G28" s="68"/>
      <c r="H28" s="68"/>
      <c r="I28" s="68"/>
      <c r="J28" s="68"/>
      <c r="K28" s="69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0"/>
      <c r="G29" s="71"/>
      <c r="H29" s="71"/>
      <c r="I29" s="71"/>
      <c r="J29" s="71"/>
      <c r="K29" s="72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0"/>
      <c r="G30" s="71"/>
      <c r="H30" s="71"/>
      <c r="I30" s="71"/>
      <c r="J30" s="71"/>
      <c r="K30" s="72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0"/>
      <c r="G31" s="71"/>
      <c r="H31" s="71"/>
      <c r="I31" s="71"/>
      <c r="J31" s="71"/>
      <c r="K31" s="72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0"/>
      <c r="G32" s="71"/>
      <c r="H32" s="71"/>
      <c r="I32" s="71"/>
      <c r="J32" s="71"/>
      <c r="K32" s="72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0"/>
      <c r="G33" s="71"/>
      <c r="H33" s="71"/>
      <c r="I33" s="71"/>
      <c r="J33" s="71"/>
      <c r="K33" s="72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0"/>
      <c r="G34" s="71"/>
      <c r="H34" s="71"/>
      <c r="I34" s="71"/>
      <c r="J34" s="71"/>
      <c r="K34" s="72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0"/>
      <c r="G35" s="71"/>
      <c r="H35" s="71"/>
      <c r="I35" s="71"/>
      <c r="J35" s="71"/>
      <c r="K35" s="72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0"/>
      <c r="G36" s="71"/>
      <c r="H36" s="71"/>
      <c r="I36" s="71"/>
      <c r="J36" s="71"/>
      <c r="K36" s="72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0"/>
      <c r="G37" s="71"/>
      <c r="H37" s="71"/>
      <c r="I37" s="71"/>
      <c r="J37" s="71"/>
      <c r="K37" s="72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0"/>
      <c r="G38" s="71"/>
      <c r="H38" s="71"/>
      <c r="I38" s="71"/>
      <c r="J38" s="71"/>
      <c r="K38" s="72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0"/>
      <c r="G39" s="71"/>
      <c r="H39" s="71"/>
      <c r="I39" s="71"/>
      <c r="J39" s="71"/>
      <c r="K39" s="72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3"/>
      <c r="G40" s="74"/>
      <c r="H40" s="74"/>
      <c r="I40" s="74"/>
      <c r="J40" s="74"/>
      <c r="K40" s="75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77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78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79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79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79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78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79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79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78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79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65">
        <v>22.99</v>
      </c>
      <c r="F52" s="47" t="s">
        <v>260</v>
      </c>
      <c r="G52" s="81" t="s">
        <v>176</v>
      </c>
      <c r="H52" s="83" t="s">
        <v>259</v>
      </c>
      <c r="I52" s="85"/>
      <c r="J52" s="79"/>
      <c r="K52" s="65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66"/>
      <c r="F53" s="47" t="s">
        <v>255</v>
      </c>
      <c r="G53" s="82"/>
      <c r="H53" s="84"/>
      <c r="I53" s="86"/>
      <c r="J53" s="79"/>
      <c r="K53" s="66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79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79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0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76" t="s">
        <v>290</v>
      </c>
      <c r="G58" s="68"/>
      <c r="H58" s="68"/>
      <c r="I58" s="68"/>
      <c r="J58" s="68"/>
      <c r="K58" s="69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0"/>
      <c r="G59" s="71"/>
      <c r="H59" s="71"/>
      <c r="I59" s="71"/>
      <c r="J59" s="71"/>
      <c r="K59" s="72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0"/>
      <c r="G60" s="71"/>
      <c r="H60" s="71"/>
      <c r="I60" s="71"/>
      <c r="J60" s="71"/>
      <c r="K60" s="72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0"/>
      <c r="G61" s="71"/>
      <c r="H61" s="71"/>
      <c r="I61" s="71"/>
      <c r="J61" s="71"/>
      <c r="K61" s="72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0"/>
      <c r="G62" s="71"/>
      <c r="H62" s="71"/>
      <c r="I62" s="71"/>
      <c r="J62" s="71"/>
      <c r="K62" s="72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0"/>
      <c r="G63" s="71"/>
      <c r="H63" s="71"/>
      <c r="I63" s="71"/>
      <c r="J63" s="71"/>
      <c r="K63" s="72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0"/>
      <c r="G64" s="71"/>
      <c r="H64" s="71"/>
      <c r="I64" s="71"/>
      <c r="J64" s="71"/>
      <c r="K64" s="72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0"/>
      <c r="G65" s="71"/>
      <c r="H65" s="71"/>
      <c r="I65" s="71"/>
      <c r="J65" s="71"/>
      <c r="K65" s="72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0"/>
      <c r="G66" s="71"/>
      <c r="H66" s="71"/>
      <c r="I66" s="71"/>
      <c r="J66" s="71"/>
      <c r="K66" s="72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0"/>
      <c r="G67" s="71"/>
      <c r="H67" s="71"/>
      <c r="I67" s="71"/>
      <c r="J67" s="71"/>
      <c r="K67" s="72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0"/>
      <c r="G68" s="71"/>
      <c r="H68" s="71"/>
      <c r="I68" s="71"/>
      <c r="J68" s="71"/>
      <c r="K68" s="72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0"/>
      <c r="G69" s="71"/>
      <c r="H69" s="71"/>
      <c r="I69" s="71"/>
      <c r="J69" s="71"/>
      <c r="K69" s="72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0"/>
      <c r="G70" s="71"/>
      <c r="H70" s="71"/>
      <c r="I70" s="71"/>
      <c r="J70" s="71"/>
      <c r="K70" s="72"/>
    </row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2026-08-08T16:34:02Z</dcterms:modified>
  <dc:language>en-US</dc:language>
</cp:coreProperties>
</file>