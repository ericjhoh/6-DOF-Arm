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6A71F57B-C89F-4986-B8E2-5B735575E813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" i="3" l="1"/>
  <c r="K77" i="3"/>
  <c r="K76" i="3"/>
  <c r="K74" i="3"/>
  <c r="B39" i="1"/>
  <c r="B38" i="1"/>
  <c r="K73" i="3" l="1"/>
  <c r="K54" i="3"/>
  <c r="K55" i="3"/>
  <c r="K49" i="3"/>
  <c r="K52" i="3"/>
  <c r="K51" i="3"/>
  <c r="K48" i="3"/>
  <c r="K46" i="3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D39" i="1"/>
  <c r="F39" i="1" s="1"/>
  <c r="D38" i="1"/>
  <c r="F38" i="1" s="1"/>
  <c r="B9" i="1"/>
  <c r="K41" i="3" l="1"/>
  <c r="F44" i="1"/>
  <c r="F40" i="1"/>
  <c r="F54" i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F42" i="1"/>
  <c r="F41" i="1"/>
  <c r="F43" i="1"/>
  <c r="G45" i="1" l="1"/>
  <c r="B56" i="1" s="1"/>
  <c r="C56" i="1" s="1"/>
  <c r="F56" i="1" s="1"/>
  <c r="G56" i="1" s="1"/>
  <c r="F45" i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<sst xmlns="http://schemas.openxmlformats.org/spreadsheetml/2006/main" count="407" uniqueCount="325">
  <si>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</si>
  <si>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</si>
  <si>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</si>
  <si>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</si>
  <si>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</si>
  <si>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</si>
  <si>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</si>
  <si>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</si>
  <si>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</si>
  <si>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</si>
  <si>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</si>
  <si>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</si>
  <si>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</si>
  <si>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</si>
  <si>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</si>
  <si>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</si>
  <si>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</si>
  <si>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</si>
  <si>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</si>
  <si>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</si>
  <si>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</si>
  <si>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</si>
  <si>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</si>
  <si>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</si>
  <si>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</si>
  <si>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</si>
  <si>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</si>
  <si>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</si>
  <si>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</si>
  <si>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</si>
  <si>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</si>
  <si>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</si>
  <si>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</si>
  <si>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</si>
  <si>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</si>
  <si>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</si>
  <si>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</si>
  <si>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</si>
  <si>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</si>
  <si>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</si>
  <si>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</si>
  <si>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</si>
  <si>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</si>
  <si>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</si>
  <si>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</si>
  <si>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</si>
  <si>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</si>
  <si>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</si>
  <si>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</si>
  <si>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</si>
  <si>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</si>
  <si>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</si>
  <si>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</si>
  <si>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</si>
  <si>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</si>
  <si>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</si>
  <si>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</si>
  <si>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</si>
  <si>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</si>
  <si>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</si>
  <si>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</si>
  <si>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</si>
  <si>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</si>
  <si>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</si>
  <si>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</si>
  <si>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</si>
  <si>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</si>
  <si>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</si>
  <si>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</si>
  <si>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</si>
  <si>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</si>
  <si>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</si>
  <si>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</si>
  <si>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</si>
  <si>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</si>
  <si>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</si>
  <si>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</si>
  <si>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</si>
  <si>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</si>
  <si>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</si>
  <si>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</si>
  <si>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</si>
  <si>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</si>
  <si>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</si>
  <si>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</si>
  <si>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</si>
  <si>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</si>
  <si>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</si>
  <si>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</si>
  <si>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</si>
  <si>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</si>
  <si>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</si>
  <si>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</si>
  <si>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</si>
  <si>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</si>
  <si>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</si>
  <si>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</si>
  <si>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</si>
  <si>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</si>
  <si>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</si>
  <si>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</si>
  <si>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</si>
  <si>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</si>
  <si>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</si>
  <si>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</si>
  <si>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</si>
  <si>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</si>
  <si>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</si>
  <si>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</si>
  <si>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</si>
  <si>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</si>
  <si>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</si>
  <si>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</si>
  <si>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</si>
  <si>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</si>
  <si>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</si>
  <si>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</si>
  <si>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</si>
  <si>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</si>
  <si>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</si>
  <si>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</si>
  <si>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</si>
  <si>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</si>
  <si>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</si>
  <si>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</si>
  <si>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</si>
  <si>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</si>
  <si>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</si>
  <si>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</si>
  <si>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</si>
  <si>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</si>
  <si>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</si>
  <si>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</si>
  <si>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</si>
  <si>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</si>
  <si>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</si>
  <si>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</si>
  <si>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</si>
  <si>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</si>
  <si>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</si>
  <si>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</si>
  <si>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</si>
  <si>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</si>
  <si>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</si>
  <si>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</si>
  <si>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</si>
  <si>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</si>
  <si>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</si>
  <si>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</si>
  <si>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</si>
  <si>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</si>
  <si>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</si>
  <si>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</si>
  <si>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</si>
  <si>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</si>
  <si>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</si>
  <si>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</si>
  <si>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</si>
  <si>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</si>
  <si>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</si>
  <si>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</si>
  <si>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</si>
  <si>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</si>
  <si>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</si>
  <si>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</si>
  <si>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</si>
  <si>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</si>
  <si>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</si>
  <si>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</si>
  <si>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</si>
  <si>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</si>
  <si>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</si>
  <si>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</si>
  <si>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</si>
  <si>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</si>
  <si>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</si>
  <si>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</si>
  <si>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</si>
  <si>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</si>
  <si>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</si>
  <si>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</si>
  <si>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</si>
  <si>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</si>
  <si>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</si>
  <si>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</si>
  <si>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</si>
  <si>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</si>
  <si>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</si>
  <si>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</si>
  <si>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</si>
  <si>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</si>
  <si>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</si>
  <si>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</si>
  <si>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</si>
  <si>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</si>
  <si>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</si>
  <si>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</si>
  <si>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</si>
  <si>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</si>
  <si>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</si>
  <si>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</si>
  <si>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</si>
  <si>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</si>
  <si>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</si>
  <si>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</si>
  <si>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</si>
  <si>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</si>
  <si>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</si>
  <si>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</si>
  <si>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</si>
  <si>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</si>
  <si>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</si>
  <si>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</si>
  <si>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</si>
  <si>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</si>
  <si>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</si>
  <si>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</si>
  <si>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</si>
  <si>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</si>
  <si>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</si>
  <si>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</si>
  <si>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</si>
  <si>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</si>
  <si>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</si>
  <si>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</si>
  <si>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</si>
  <si>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</si>
  <si>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</si>
  <si>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</si>
  <si>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</si>
  <si>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</si>
  <si>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</si>
  <si>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</si>
  <si>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</si>
  <si>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</si>
  <si>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</si>
  <si>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</si>
  <si>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</si>
  <si>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</si>
  <si>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</si>
  <si>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</si>
  <si>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</si>
  <si>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</si>
  <si>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</si>
  <si>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</si>
  <si>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</si>
  <si>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</si>
  <si>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</si>
  <si>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</si>
  <si>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</si>
  <si>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</si>
  <si>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</si>
  <si>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</si>
  <si>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</si>
  <si>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</si>
  <si>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</si>
  <si>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</si>
  <si>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</si>
  <si>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</si>
  <si>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</si>
  <si>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</si>
  <si>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</si>
  <si>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</si>
  <si>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</si>
  <si>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</si>
  <si>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</si>
  <si>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</si>
  <si>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</si>
  <si>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</si>
  <si>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</si>
  <si>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</si>
  <si>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</si>
  <si>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</si>
  <si>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</si>
  <si>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</si>
  <si>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</si>
  <si>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</si>
  <si>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</si>
  <si>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</si>
  <si>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</si>
  <si>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</si>
  <si>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</si>
  <si>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</si>
  <si>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</si>
  <si>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</si>
  <si>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</si>
  <si>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</si>
  <si>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</si>
  <si>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</si>
  <si>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</si>
  <si>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</si>
  <si>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</si>
  <si>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</si>
  <si>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</si>
  <si>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</si>
  <si>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</si>
  <si>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</si>
  <si>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</si>
  <si>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</si>
  <si>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</si>
  <si>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</si>
  <si>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</si>
  <si>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</si>
  <si>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</si>
  <si>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</si>
  <si>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</si>
  <si>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</si>
  <si>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</si>
  <si>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</si>
  <si>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</si>
  <si>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</si>
  <si>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</si>
  <si>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</si>
  <si>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</si>
  <si>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</si>
  <si>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</si>
  <si>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</si>
  <si>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</si>
  <si>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</si>
  <si>
    <t>J4, J5, J6 (V1.0 with encoder)</t>
  </si>
  <si>
    <t>Misc</t>
  </si>
  <si>
    <t>https://www.amazon.com/gp/product/B017TFR664/ref=ox_sc_act_title_3?smid=AITZO53LNBA1K&amp;th=1</t>
  </si>
  <si>
    <t>https://www.amazon.com/gp/product/B0FRNLQZJC/ref=ox_sc_act_title_1?smid=AMQGUUYQT32RH&amp;psc=1</t>
  </si>
  <si>
    <t>https://www.amazon.com/Feggizuli-Connectors-Insulation-Automotive-Electrical/dp/B0B4NSMBTQ/ref=sr_1_4?crid=1QQRUJYCF8IIJ&amp;dib=eyJ2IjoiMSJ9.7JMFXnhOn4EQuI8k8n-MbFSgPqbHDePKJn1EA8NASIBQckj-XOGxBn5wPGUj5ntkQIKP4IVw3ahpaDhUVGwauEk7ikAED8XLtT_EnkKtB3ty_zBfNcrUpQEt7d7Q4nONtcxa5eDnSfLrWRhuW65u4ud42FPDvhrA-J5vyLfzxOuUFQYwFJx-B6eudAMc_6IqVdN4cTmJMB8AQVyQ8Y1X6E2DoyO9-ibVMdCs3kJ9Fos.GInOUC1CjDAXCpQns-V1SNgQFwaVARW5s-_8iPQIXgI&amp;dib_tag=se&amp;keywords=bullet%2Bconnectors%2Bfor%2Bwiring&amp;qid=1786647345&amp;sprefix=bullet%2Bconnectors%2Caps%2C127&amp;sr=8-4&amp;th=1</t>
  </si>
  <si>
    <t>15-camshaft_spacer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</si>
</sst>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9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18" fillId="0" borderId="0" xfId="0" applyFont="1"/>
    <xf numFmtId="166" fontId="14" fillId="5" borderId="3" xfId="0" applyNumberFormat="1" applyFont="1" applyFill="1" applyBorder="1" applyAlignment="1">
      <alignment vertical="center" wrapText="1"/>
    </xf>
    <xf numFmtId="166" fontId="10" fillId="9" borderId="4" xfId="0" applyNumberFormat="1" applyFont="1" applyFill="1" applyBorder="1" applyAlignment="1">
      <alignment vertical="center" wrapText="1"/>
    </xf>
    <xf numFmtId="166" fontId="10" fillId="5" borderId="4" xfId="0" applyNumberFormat="1" applyFont="1" applyFill="1" applyBorder="1" applyAlignment="1">
      <alignment vertical="center" wrapText="1"/>
    </xf>
    <xf numFmtId="0" fontId="3" fillId="2" borderId="0" xfId="0" applyFont="1" applyFill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hyperlink" Target="https://www.amazon.com/gp/product/B017TFR664/ref=ox_sc_act_title_3?smid=AITZO53LNBA1K&amp;th=1" TargetMode="External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B5" sqref="B5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9" t="s">
        <v>2</v>
      </c>
      <c r="B4" s="69"/>
      <c r="C4" s="69"/>
      <c r="D4" s="69"/>
      <c r="E4" s="69"/>
      <c r="F4" s="69"/>
      <c r="G4" s="69"/>
      <c r="H4" s="69"/>
      <c r="I4" s="69"/>
    </row>
    <row r="5" spans="1:9" x14ac:dyDescent="0.25">
      <c r="A5" s="3" t="s">
        <v>3</v>
      </c>
      <c r="B5" s="4">
        <v>0.25</v>
      </c>
      <c r="C5" s="3" t="s">
        <v>4</v>
      </c>
    </row>
    <row r="6" spans="1:9" x14ac:dyDescent="0.25">
      <c r="A6" s="3" t="s">
        <v>5</v>
      </c>
      <c r="B6" s="4">
        <v>7.0000000000000007E-2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9" t="s">
        <v>12</v>
      </c>
      <c r="B11" s="69"/>
      <c r="C11" s="69"/>
      <c r="D11" s="69"/>
      <c r="E11" s="69"/>
      <c r="F11" s="69"/>
      <c r="G11" s="69"/>
      <c r="H11" s="69"/>
      <c r="I11" s="69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9" t="s">
        <v>27</v>
      </c>
      <c r="B20" s="69"/>
      <c r="C20" s="69"/>
      <c r="D20" s="69"/>
      <c r="E20" s="69"/>
      <c r="F20" s="69"/>
      <c r="G20" s="69"/>
      <c r="H20" s="69"/>
      <c r="I20" s="69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9" t="s">
        <v>32</v>
      </c>
      <c r="B24" s="69"/>
      <c r="C24" s="69"/>
      <c r="D24" s="69"/>
      <c r="E24" s="69"/>
      <c r="F24" s="69"/>
      <c r="G24" s="69"/>
      <c r="H24" s="69"/>
      <c r="I24" s="69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0.65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9" t="s">
        <v>56</v>
      </c>
      <c r="B36" s="69"/>
      <c r="C36" s="69"/>
      <c r="D36" s="69"/>
      <c r="E36" s="69"/>
      <c r="F36" s="69"/>
      <c r="G36" s="69"/>
      <c r="H36" s="69"/>
      <c r="I36" s="69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0.125</v>
      </c>
      <c r="E38" s="15" t="s">
        <v>64</v>
      </c>
      <c r="F38" s="16">
        <f t="shared" ref="F38:F44" si="0">B38*$B$21*D38</f>
        <v>7.3575000000000002E-2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0.25</v>
      </c>
      <c r="E39" s="15" t="s">
        <v>64</v>
      </c>
      <c r="F39" s="16">
        <f>B39*$B$21*D39</f>
        <v>2.2072500000000002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0.28000000000000003</v>
      </c>
      <c r="E40" s="14">
        <f>B8</f>
        <v>0.03</v>
      </c>
      <c r="F40" s="16">
        <f t="shared" si="0"/>
        <v>0.32961600000000002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0.28500000000000003</v>
      </c>
      <c r="E41" s="14">
        <f>B6/2</f>
        <v>3.5000000000000003E-2</v>
      </c>
      <c r="F41" s="16">
        <f t="shared" si="0"/>
        <v>0.16775100000000001</v>
      </c>
      <c r="G41" s="16">
        <f>B41*$B$21*E41</f>
        <v>2.0601000000000001E-2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7.0000000000000007E-2</v>
      </c>
      <c r="F42" s="16">
        <f t="shared" si="0"/>
        <v>0.69062400000000013</v>
      </c>
      <c r="G42" s="16">
        <f>B42*$B$21*E42</f>
        <v>0.15107400000000004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0.11000000000000001</v>
      </c>
      <c r="F43" s="16">
        <f t="shared" si="0"/>
        <v>0.52973999999999999</v>
      </c>
      <c r="G43" s="16">
        <f>B43*$B$21*E43</f>
        <v>0.16186500000000004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0.15000000000000002</v>
      </c>
      <c r="F44" s="16">
        <f t="shared" si="0"/>
        <v>0.78480000000000016</v>
      </c>
      <c r="G44" s="16">
        <f>B44*$B$21*E44</f>
        <v>0.29430000000000006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4.7833560000000004</v>
      </c>
      <c r="G45" s="19">
        <f>SUM(G38:G44)</f>
        <v>0.66315600000000008</v>
      </c>
    </row>
    <row r="47" spans="1:9" x14ac:dyDescent="0.25">
      <c r="A47" s="69" t="s">
        <v>72</v>
      </c>
      <c r="B47" s="69"/>
      <c r="C47" s="69"/>
      <c r="D47" s="69"/>
      <c r="E47" s="69"/>
      <c r="F47" s="69"/>
      <c r="G47" s="69"/>
      <c r="H47" s="69"/>
      <c r="I47" s="69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9" t="s">
        <v>77</v>
      </c>
      <c r="B52" s="69"/>
      <c r="C52" s="69"/>
      <c r="D52" s="69"/>
      <c r="E52" s="69"/>
      <c r="F52" s="69"/>
      <c r="G52" s="69"/>
      <c r="H52" s="69"/>
      <c r="I52" s="69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2.9250000000000003</v>
      </c>
      <c r="F54" s="16">
        <f t="shared" ref="F54:F59" si="2">E54/C54</f>
        <v>3.9000000000000004</v>
      </c>
      <c r="G54" s="25" t="str">
        <f t="shared" ref="G54:G59" si="3">IF(F54&gt;=1,"PASS",IF(F54&gt;=0.85,"MARGINAL","UNDERSIZED"))</f>
        <v>PASS</v>
      </c>
      <c r="H54" s="26">
        <f>B26*B29*B28</f>
        <v>16.574999999999999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4.7833560000000004</v>
      </c>
      <c r="C55" s="16">
        <f t="shared" si="1"/>
        <v>7.1750340000000001</v>
      </c>
      <c r="D55" s="24">
        <f>B30</f>
        <v>30</v>
      </c>
      <c r="E55" s="16">
        <f>B25*B30*B28</f>
        <v>5.8500000000000005</v>
      </c>
      <c r="F55" s="16">
        <f t="shared" si="2"/>
        <v>0.81532714688181274</v>
      </c>
      <c r="G55" s="25" t="str">
        <f t="shared" si="3"/>
        <v>UNDERSIZED</v>
      </c>
      <c r="H55" s="26">
        <f>B26*B30*B28</f>
        <v>33.15</v>
      </c>
      <c r="I55" s="24">
        <f>B27/B30*6</f>
        <v>48</v>
      </c>
    </row>
    <row r="56" spans="1:9" x14ac:dyDescent="0.25">
      <c r="A56" s="13" t="s">
        <v>89</v>
      </c>
      <c r="B56" s="16">
        <f>G45</f>
        <v>0.66315600000000008</v>
      </c>
      <c r="C56" s="16">
        <f t="shared" si="1"/>
        <v>0.99473400000000012</v>
      </c>
      <c r="D56" s="24">
        <f>B31</f>
        <v>15</v>
      </c>
      <c r="E56" s="16">
        <f>B25*B31*B28</f>
        <v>2.9250000000000003</v>
      </c>
      <c r="F56" s="16">
        <f t="shared" si="2"/>
        <v>2.9404845918607387</v>
      </c>
      <c r="G56" s="25" t="str">
        <f t="shared" si="3"/>
        <v>PASS</v>
      </c>
      <c r="H56" s="26">
        <f>B26*B31*B28</f>
        <v>16.574999999999999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0"/>
  <sheetViews>
    <sheetView tabSelected="1" topLeftCell="A27" zoomScale="90" zoomScaleNormal="90" workbookViewId="0">
      <selection activeCell="P10" sqref="P10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6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6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6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6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6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6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6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6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6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319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6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  <c r="P10" s="65"/>
    </row>
    <row r="11" spans="1:16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6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70">
        <v>7.68</v>
      </c>
      <c r="K12" s="32">
        <f>I12*E12</f>
        <v>7.21</v>
      </c>
    </row>
    <row r="13" spans="1:16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92"/>
      <c r="K13" s="56"/>
    </row>
    <row r="14" spans="1:16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93"/>
      <c r="K14" s="32">
        <f>I14*E14</f>
        <v>38.97</v>
      </c>
    </row>
    <row r="15" spans="1:16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93"/>
      <c r="K15" s="32">
        <f t="shared" ref="K15:K25" si="0">I15*E15</f>
        <v>9.99</v>
      </c>
    </row>
    <row r="16" spans="1:16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93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92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93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93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92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93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70">
        <v>22.99</v>
      </c>
      <c r="F22" s="47" t="s">
        <v>247</v>
      </c>
      <c r="G22" s="86" t="s">
        <v>176</v>
      </c>
      <c r="H22" s="88">
        <v>46230</v>
      </c>
      <c r="I22" s="90">
        <v>1</v>
      </c>
      <c r="J22" s="93"/>
      <c r="K22" s="70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71"/>
      <c r="F23" s="47" t="s">
        <v>255</v>
      </c>
      <c r="G23" s="87"/>
      <c r="H23" s="89"/>
      <c r="I23" s="91"/>
      <c r="J23" s="93"/>
      <c r="K23" s="71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93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93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71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72" t="s">
        <v>233</v>
      </c>
      <c r="G28" s="73"/>
      <c r="H28" s="73"/>
      <c r="I28" s="73"/>
      <c r="J28" s="73"/>
      <c r="K28" s="74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5"/>
      <c r="G29" s="76"/>
      <c r="H29" s="76"/>
      <c r="I29" s="76"/>
      <c r="J29" s="76"/>
      <c r="K29" s="77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5"/>
      <c r="G30" s="76"/>
      <c r="H30" s="76"/>
      <c r="I30" s="76"/>
      <c r="J30" s="76"/>
      <c r="K30" s="77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5"/>
      <c r="G31" s="76"/>
      <c r="H31" s="76"/>
      <c r="I31" s="76"/>
      <c r="J31" s="76"/>
      <c r="K31" s="77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5"/>
      <c r="G32" s="76"/>
      <c r="H32" s="76"/>
      <c r="I32" s="76"/>
      <c r="J32" s="76"/>
      <c r="K32" s="77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5"/>
      <c r="G33" s="76"/>
      <c r="H33" s="76"/>
      <c r="I33" s="76"/>
      <c r="J33" s="76"/>
      <c r="K33" s="77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5"/>
      <c r="G34" s="76"/>
      <c r="H34" s="76"/>
      <c r="I34" s="76"/>
      <c r="J34" s="76"/>
      <c r="K34" s="77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5"/>
      <c r="G35" s="76"/>
      <c r="H35" s="76"/>
      <c r="I35" s="76"/>
      <c r="J35" s="76"/>
      <c r="K35" s="77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5"/>
      <c r="G36" s="76"/>
      <c r="H36" s="76"/>
      <c r="I36" s="76"/>
      <c r="J36" s="76"/>
      <c r="K36" s="77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5"/>
      <c r="G37" s="76"/>
      <c r="H37" s="76"/>
      <c r="I37" s="76"/>
      <c r="J37" s="76"/>
      <c r="K37" s="77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5"/>
      <c r="G38" s="76"/>
      <c r="H38" s="76"/>
      <c r="I38" s="76"/>
      <c r="J38" s="76"/>
      <c r="K38" s="77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5"/>
      <c r="G39" s="76"/>
      <c r="H39" s="76"/>
      <c r="I39" s="76"/>
      <c r="J39" s="76"/>
      <c r="K39" s="77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8"/>
      <c r="G40" s="79"/>
      <c r="H40" s="79"/>
      <c r="I40" s="79"/>
      <c r="J40" s="79"/>
      <c r="K40" s="80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82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83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4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4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4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83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4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4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83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4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70">
        <v>22.99</v>
      </c>
      <c r="F52" s="47" t="s">
        <v>260</v>
      </c>
      <c r="G52" s="86" t="s">
        <v>176</v>
      </c>
      <c r="H52" s="88" t="s">
        <v>259</v>
      </c>
      <c r="I52" s="90"/>
      <c r="J52" s="84"/>
      <c r="K52" s="70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71"/>
      <c r="F53" s="47" t="s">
        <v>255</v>
      </c>
      <c r="G53" s="87"/>
      <c r="H53" s="89"/>
      <c r="I53" s="91"/>
      <c r="J53" s="84"/>
      <c r="K53" s="71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4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4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5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81" t="s">
        <v>290</v>
      </c>
      <c r="G58" s="73"/>
      <c r="H58" s="73"/>
      <c r="I58" s="73"/>
      <c r="J58" s="73"/>
      <c r="K58" s="74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5"/>
      <c r="G59" s="76"/>
      <c r="H59" s="76"/>
      <c r="I59" s="76"/>
      <c r="J59" s="76"/>
      <c r="K59" s="77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5"/>
      <c r="G60" s="76"/>
      <c r="H60" s="76"/>
      <c r="I60" s="76"/>
      <c r="J60" s="76"/>
      <c r="K60" s="77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5"/>
      <c r="G61" s="76"/>
      <c r="H61" s="76"/>
      <c r="I61" s="76"/>
      <c r="J61" s="76"/>
      <c r="K61" s="77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5"/>
      <c r="G62" s="76"/>
      <c r="H62" s="76"/>
      <c r="I62" s="76"/>
      <c r="J62" s="76"/>
      <c r="K62" s="77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5"/>
      <c r="G63" s="76"/>
      <c r="H63" s="76"/>
      <c r="I63" s="76"/>
      <c r="J63" s="76"/>
      <c r="K63" s="77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5"/>
      <c r="G64" s="76"/>
      <c r="H64" s="76"/>
      <c r="I64" s="76"/>
      <c r="J64" s="76"/>
      <c r="K64" s="77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5"/>
      <c r="G65" s="76"/>
      <c r="H65" s="76"/>
      <c r="I65" s="76"/>
      <c r="J65" s="76"/>
      <c r="K65" s="77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5"/>
      <c r="G66" s="76"/>
      <c r="H66" s="76"/>
      <c r="I66" s="76"/>
      <c r="J66" s="76"/>
      <c r="K66" s="77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5"/>
      <c r="G67" s="76"/>
      <c r="H67" s="76"/>
      <c r="I67" s="76"/>
      <c r="J67" s="76"/>
      <c r="K67" s="77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5"/>
      <c r="G68" s="76"/>
      <c r="H68" s="76"/>
      <c r="I68" s="76"/>
      <c r="J68" s="76"/>
      <c r="K68" s="77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5"/>
      <c r="G69" s="76"/>
      <c r="H69" s="76"/>
      <c r="I69" s="76"/>
      <c r="J69" s="76"/>
      <c r="K69" s="77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5"/>
      <c r="G70" s="76"/>
      <c r="H70" s="76"/>
      <c r="I70" s="76"/>
      <c r="J70" s="76"/>
      <c r="K70" s="77"/>
    </row>
    <row r="71" spans="1:11" x14ac:dyDescent="0.25">
      <c r="A71" s="47" t="s">
        <v>312</v>
      </c>
      <c r="B71" s="33">
        <v>3</v>
      </c>
      <c r="C71" s="50" t="s">
        <v>324</v>
      </c>
      <c r="D71" s="33">
        <v>3</v>
      </c>
      <c r="E71" s="32"/>
    </row>
    <row r="73" spans="1:11" x14ac:dyDescent="0.25">
      <c r="A73" s="36">
        <v>1.4</v>
      </c>
      <c r="B73" s="36">
        <v>3</v>
      </c>
      <c r="C73" s="37" t="s">
        <v>320</v>
      </c>
      <c r="D73" s="36"/>
      <c r="E73" s="35" t="s">
        <v>235</v>
      </c>
      <c r="F73" s="36"/>
      <c r="G73" s="36"/>
      <c r="H73" s="36"/>
      <c r="I73" s="36"/>
      <c r="J73" s="35"/>
      <c r="K73" s="35">
        <f>SUM(K74:K78)+SUM(J74:J78)</f>
        <v>60.139999999999993</v>
      </c>
    </row>
    <row r="74" spans="1:11" x14ac:dyDescent="0.25">
      <c r="A74" s="47" t="s">
        <v>184</v>
      </c>
      <c r="B74" s="33">
        <v>4</v>
      </c>
      <c r="C74" s="34"/>
      <c r="D74" s="33">
        <v>22</v>
      </c>
      <c r="E74" s="32">
        <v>7.21</v>
      </c>
      <c r="F74" s="33" t="s">
        <v>240</v>
      </c>
      <c r="G74" s="45" t="s">
        <v>321</v>
      </c>
      <c r="H74" s="63">
        <v>46237</v>
      </c>
      <c r="I74" s="33">
        <v>1</v>
      </c>
      <c r="J74" s="66">
        <v>5.87</v>
      </c>
      <c r="K74" s="32">
        <f>I74*E74</f>
        <v>7.21</v>
      </c>
    </row>
    <row r="75" spans="1:11" x14ac:dyDescent="0.25">
      <c r="A75" s="54"/>
      <c r="B75" s="54"/>
      <c r="C75" s="55"/>
      <c r="D75" s="54"/>
      <c r="E75" s="56"/>
      <c r="F75" s="54"/>
      <c r="G75" s="54"/>
      <c r="H75" s="58"/>
      <c r="I75" s="54"/>
      <c r="J75" s="67"/>
      <c r="K75" s="56"/>
    </row>
    <row r="76" spans="1:11" ht="30" x14ac:dyDescent="0.25">
      <c r="A76" s="47" t="s">
        <v>182</v>
      </c>
      <c r="B76" s="33">
        <v>4</v>
      </c>
      <c r="C76" s="34"/>
      <c r="D76" s="33">
        <v>44</v>
      </c>
      <c r="E76" s="32">
        <v>12.99</v>
      </c>
      <c r="F76" s="53" t="s">
        <v>289</v>
      </c>
      <c r="G76" s="46" t="s">
        <v>322</v>
      </c>
      <c r="H76" s="63">
        <v>46237</v>
      </c>
      <c r="I76" s="33">
        <v>3</v>
      </c>
      <c r="J76" s="68"/>
      <c r="K76" s="32">
        <f>I76*E76</f>
        <v>38.97</v>
      </c>
    </row>
    <row r="77" spans="1:11" ht="30" x14ac:dyDescent="0.25">
      <c r="A77" s="47" t="s">
        <v>179</v>
      </c>
      <c r="B77" s="33">
        <v>4</v>
      </c>
      <c r="C77" s="34"/>
      <c r="D77" s="33">
        <v>4</v>
      </c>
      <c r="E77" s="32">
        <v>8.09</v>
      </c>
      <c r="F77" s="53" t="s">
        <v>318</v>
      </c>
      <c r="G77" s="46" t="s">
        <v>323</v>
      </c>
      <c r="H77" s="63">
        <v>46237</v>
      </c>
      <c r="I77" s="33">
        <v>1</v>
      </c>
      <c r="J77" s="68"/>
      <c r="K77" s="32">
        <f t="shared" ref="K77:K78" si="4">I77*E77</f>
        <v>8.09</v>
      </c>
    </row>
    <row r="78" spans="1:11" x14ac:dyDescent="0.25">
      <c r="A78" s="47"/>
      <c r="B78" s="33"/>
      <c r="C78" s="34"/>
      <c r="D78" s="33"/>
      <c r="E78" s="32"/>
      <c r="F78" s="53"/>
      <c r="G78" s="46"/>
      <c r="H78" s="63"/>
      <c r="I78" s="33"/>
      <c r="J78" s="68"/>
      <c r="K78" s="32">
        <f t="shared" si="4"/>
        <v>0</v>
      </c>
    </row>
    <row r="90" ht="15" customHeight="1" x14ac:dyDescent="0.25"/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  <hyperlink ref="G74" r:id="rId26" xr:uid="{13FED848-D9FE-497A-98DD-D8063464CEB6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2026-08-26T23:13:34Z</dcterms:modified>
  <dc:language>en-US</dc:language>
</cp:coreProperties>
</file>