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B2528FD3-9F86-461D-9786-C3E01D3D0FE1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B38" i="1"/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F44" i="1" l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<sst xmlns="http://schemas.openxmlformats.org/spreadsheetml/2006/main" count="395" uniqueCount="320">
  <si>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</si>
  <si>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</si>
  <si>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</si>
  <si>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</si>
  <si>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</si>
  <si>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</si>
  <si>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</si>
  <si>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</si>
  <si>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</si>
  <si>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</si>
  <si>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</si>
  <si>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</si>
  <si>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</si>
  <si>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</si>
  <si>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</si>
  <si>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</si>
  <si>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</si>
  <si>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</si>
  <si>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</si>
  <si>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</si>
  <si>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</si>
  <si>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</si>
  <si>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</si>
  <si>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</si>
  <si>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</si>
  <si>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</si>
  <si>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</si>
  <si>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</si>
  <si>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</si>
  <si>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</si>
  <si>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</si>
  <si>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</si>
  <si>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</si>
  <si>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</si>
  <si>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</si>
  <si>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</si>
  <si>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</si>
  <si>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</si>
  <si>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</si>
  <si>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</si>
  <si>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</si>
  <si>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</si>
  <si>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</si>
  <si>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</si>
  <si>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</si>
  <si>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</si>
  <si>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</si>
  <si>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</si>
  <si>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</si>
  <si>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</si>
  <si>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</si>
  <si>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</si>
  <si>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</si>
  <si>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</si>
  <si>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</si>
  <si>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</si>
  <si>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</si>
  <si>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</si>
  <si>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</si>
  <si>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</si>
  <si>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</si>
  <si>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</si>
  <si>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</si>
  <si>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</si>
  <si>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</si>
  <si>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</si>
  <si>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</si>
  <si>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</si>
  <si>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</si>
  <si>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</si>
  <si>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</si>
  <si>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</si>
  <si>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</si>
  <si>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</si>
  <si>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</si>
  <si>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</si>
  <si>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</si>
  <si>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</si>
  <si>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</si>
  <si>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</si>
  <si>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</si>
  <si>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</si>
  <si>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</si>
  <si>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</si>
  <si>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</si>
  <si>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</si>
  <si>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</si>
  <si>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</si>
  <si>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</si>
  <si>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</si>
  <si>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</si>
  <si>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</si>
  <si>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</si>
  <si>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</si>
  <si>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</si>
  <si>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</si>
  <si>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</si>
  <si>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</si>
  <si>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</si>
  <si>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</si>
  <si>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</si>
  <si>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</si>
  <si>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</si>
  <si>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</si>
  <si>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</si>
  <si>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</si>
  <si>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</si>
  <si>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</si>
  <si>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</si>
  <si>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</si>
  <si>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</si>
  <si>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</si>
  <si>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</si>
  <si>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</si>
  <si>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</si>
  <si>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</si>
  <si>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</si>
  <si>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</si>
  <si>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</si>
  <si>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</si>
  <si>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</si>
  <si>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</si>
  <si>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</si>
  <si>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</si>
  <si>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</si>
  <si>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</si>
  <si>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</si>
  <si>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</si>
  <si>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</si>
  <si>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</si>
  <si>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</si>
  <si>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</si>
  <si>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</si>
  <si>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</si>
  <si>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</si>
  <si>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</si>
  <si>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</si>
  <si>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</si>
  <si>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</si>
  <si>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</si>
  <si>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</si>
  <si>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</si>
  <si>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</si>
  <si>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</si>
  <si>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</si>
  <si>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</si>
  <si>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</si>
  <si>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</si>
  <si>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</si>
  <si>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</si>
  <si>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</si>
  <si>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</si>
  <si>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</si>
  <si>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</si>
  <si>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</si>
  <si>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</si>
  <si>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</si>
  <si>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</si>
  <si>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</si>
  <si>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</si>
  <si>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</si>
  <si>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</si>
  <si>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</si>
  <si>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</si>
  <si>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</si>
  <si>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</si>
  <si>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</si>
  <si>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</si>
  <si>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</si>
  <si>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</si>
  <si>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</si>
  <si>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</si>
  <si>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</si>
  <si>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</si>
  <si>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</si>
  <si>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</si>
  <si>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</si>
  <si>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</si>
  <si>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</si>
  <si>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</si>
  <si>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</si>
  <si>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</si>
  <si>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</si>
  <si>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</si>
  <si>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</si>
  <si>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</si>
  <si>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</si>
  <si>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</si>
  <si>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</si>
  <si>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</si>
  <si>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</si>
  <si>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</si>
  <si>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</si>
  <si>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</si>
  <si>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</si>
  <si>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</si>
  <si>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</si>
  <si>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</si>
  <si>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</si>
  <si>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</si>
  <si>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</si>
  <si>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</si>
  <si>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</si>
  <si>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</si>
  <si>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</si>
  <si>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</si>
  <si>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</si>
  <si>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</si>
  <si>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</si>
  <si>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</si>
  <si>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</si>
  <si>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</si>
  <si>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</si>
  <si>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</si>
  <si>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</si>
  <si>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</si>
  <si>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</si>
  <si>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</si>
  <si>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</si>
  <si>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</si>
  <si>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</si>
  <si>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</si>
  <si>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</si>
  <si>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</si>
  <si>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</si>
  <si>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</si>
  <si>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</si>
  <si>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</si>
  <si>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</si>
  <si>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</si>
  <si>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</si>
  <si>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</si>
  <si>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</si>
  <si>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</si>
  <si>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</si>
  <si>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</si>
  <si>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</si>
  <si>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</si>
  <si>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</si>
  <si>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</si>
  <si>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</si>
  <si>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</si>
  <si>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</si>
  <si>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</si>
  <si>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</si>
  <si>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</si>
  <si>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</si>
  <si>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</si>
  <si>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</si>
  <si>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</si>
  <si>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</si>
  <si>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</si>
  <si>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</si>
  <si>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</si>
  <si>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</si>
  <si>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</si>
  <si>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</si>
  <si>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</si>
  <si>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</si>
  <si>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</si>
  <si>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</si>
  <si>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</si>
  <si>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</si>
  <si>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</si>
  <si>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</si>
  <si>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</si>
  <si>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</si>
  <si>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</si>
  <si>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</si>
  <si>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</si>
  <si>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</si>
  <si>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</si>
  <si>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</si>
  <si>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</si>
  <si>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</si>
  <si>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</si>
  <si>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</si>
  <si>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</si>
  <si>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</si>
  <si>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</si>
  <si>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</si>
  <si>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</si>
  <si>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</si>
  <si>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</si>
  <si>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</si>
  <si>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</si>
  <si>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</si>
  <si>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</si>
  <si>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</si>
  <si>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</si>
  <si>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</si>
  <si>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</si>
  <si>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</si>
  <si>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</si>
  <si>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</si>
  <si>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</si>
  <si>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</si>
  <si>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</si>
  <si>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</si>
  <si>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</si>
  <si>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</si>
  <si>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</si>
  <si>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</si>
  <si>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</si>
  <si>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</si>
  <si>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</si>
  <si>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</si>
  <si>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</si>
  <si>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</si>
  <si>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</si>
  <si>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</si>
  <si>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</si>
  <si>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</si>
  <si>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</si>
  <si>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</si>
  <si>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</si>
  <si>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</si>
  <si>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</si>
  <si>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</si>
  <si>
    <t>ADD THIS TO BOM PLEASE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</si>
</sst>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9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3" fillId="2" borderId="0" xfId="0" applyFont="1" applyFill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0" fontId="18" fillId="0" borderId="0" xfId="0" applyFont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</xdr:colOff>
      <xdr:row>10</xdr:row>
      <xdr:rowOff>10583</xdr:rowOff>
    </xdr:from>
    <xdr:to>
      <xdr:col>22</xdr:col>
      <xdr:colOff>85280</xdr:colOff>
      <xdr:row>37</xdr:row>
      <xdr:rowOff>58933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A8FD8F-A74B-4D90-A2F5-3EBC6FACA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78501" y="2106083"/>
          <a:ext cx="4382112" cy="5191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B5" sqref="B5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65" t="s">
        <v>2</v>
      </c>
      <c r="B4" s="65"/>
      <c r="C4" s="65"/>
      <c r="D4" s="65"/>
      <c r="E4" s="65"/>
      <c r="F4" s="65"/>
      <c r="G4" s="65"/>
      <c r="H4" s="65"/>
      <c r="I4" s="65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65" t="s">
        <v>12</v>
      </c>
      <c r="B11" s="65"/>
      <c r="C11" s="65"/>
      <c r="D11" s="65"/>
      <c r="E11" s="65"/>
      <c r="F11" s="65"/>
      <c r="G11" s="65"/>
      <c r="H11" s="65"/>
      <c r="I11" s="65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65" t="s">
        <v>27</v>
      </c>
      <c r="B20" s="65"/>
      <c r="C20" s="65"/>
      <c r="D20" s="65"/>
      <c r="E20" s="65"/>
      <c r="F20" s="65"/>
      <c r="G20" s="65"/>
      <c r="H20" s="65"/>
      <c r="I20" s="65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65" t="s">
        <v>32</v>
      </c>
      <c r="B24" s="65"/>
      <c r="C24" s="65"/>
      <c r="D24" s="65"/>
      <c r="E24" s="65"/>
      <c r="F24" s="65"/>
      <c r="G24" s="65"/>
      <c r="H24" s="65"/>
      <c r="I24" s="65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65" t="s">
        <v>56</v>
      </c>
      <c r="B36" s="65"/>
      <c r="C36" s="65"/>
      <c r="D36" s="65"/>
      <c r="E36" s="65"/>
      <c r="F36" s="65"/>
      <c r="G36" s="65"/>
      <c r="H36" s="65"/>
      <c r="I36" s="65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0.25</v>
      </c>
      <c r="E39" s="15" t="s">
        <v>64</v>
      </c>
      <c r="F39" s="16">
        <f>B39*$B$21*D39</f>
        <v>2.2072500000000002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4.7833560000000004</v>
      </c>
      <c r="G45" s="19">
        <f>SUM(G38:G44)</f>
        <v>0.66315600000000008</v>
      </c>
    </row>
    <row r="47" spans="1:9" x14ac:dyDescent="0.25">
      <c r="A47" s="65" t="s">
        <v>72</v>
      </c>
      <c r="B47" s="65"/>
      <c r="C47" s="65"/>
      <c r="D47" s="65"/>
      <c r="E47" s="65"/>
      <c r="F47" s="65"/>
      <c r="G47" s="65"/>
      <c r="H47" s="65"/>
      <c r="I47" s="65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65" t="s">
        <v>77</v>
      </c>
      <c r="B52" s="65"/>
      <c r="C52" s="65"/>
      <c r="D52" s="65"/>
      <c r="E52" s="65"/>
      <c r="F52" s="65"/>
      <c r="G52" s="65"/>
      <c r="H52" s="65"/>
      <c r="I52" s="65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4.7833560000000004</v>
      </c>
      <c r="C55" s="16">
        <f t="shared" si="1"/>
        <v>7.1750340000000001</v>
      </c>
      <c r="D55" s="24">
        <f>B30</f>
        <v>30</v>
      </c>
      <c r="E55" s="16">
        <f>B25*B30*B28</f>
        <v>5.8500000000000005</v>
      </c>
      <c r="F55" s="16">
        <f t="shared" si="2"/>
        <v>0.81532714688181274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tabSelected="1" zoomScale="90" zoomScaleNormal="90" workbookViewId="0">
      <selection activeCell="V8" sqref="V8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6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6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6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6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6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6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6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6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6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180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6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  <c r="P10" s="90" t="s">
        <v>319</v>
      </c>
    </row>
    <row r="11" spans="1:16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6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6">
        <v>7.68</v>
      </c>
      <c r="K12" s="32">
        <f>I12*E12</f>
        <v>7.21</v>
      </c>
    </row>
    <row r="13" spans="1:16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88"/>
      <c r="K13" s="56"/>
    </row>
    <row r="14" spans="1:16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9"/>
      <c r="K14" s="32">
        <f>I14*E14</f>
        <v>38.97</v>
      </c>
    </row>
    <row r="15" spans="1:16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9"/>
      <c r="K15" s="32">
        <f t="shared" ref="K15:K25" si="0">I15*E15</f>
        <v>9.99</v>
      </c>
    </row>
    <row r="16" spans="1:16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9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88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9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9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88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9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6">
        <v>22.99</v>
      </c>
      <c r="F22" s="47" t="s">
        <v>247</v>
      </c>
      <c r="G22" s="82" t="s">
        <v>176</v>
      </c>
      <c r="H22" s="84">
        <v>46230</v>
      </c>
      <c r="I22" s="86">
        <v>1</v>
      </c>
      <c r="J22" s="89"/>
      <c r="K22" s="66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7"/>
      <c r="F23" s="47" t="s">
        <v>255</v>
      </c>
      <c r="G23" s="83"/>
      <c r="H23" s="85"/>
      <c r="I23" s="87"/>
      <c r="J23" s="89"/>
      <c r="K23" s="67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9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9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7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68" t="s">
        <v>233</v>
      </c>
      <c r="G28" s="69"/>
      <c r="H28" s="69"/>
      <c r="I28" s="69"/>
      <c r="J28" s="69"/>
      <c r="K28" s="70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1"/>
      <c r="G29" s="72"/>
      <c r="H29" s="72"/>
      <c r="I29" s="72"/>
      <c r="J29" s="72"/>
      <c r="K29" s="73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1"/>
      <c r="G30" s="72"/>
      <c r="H30" s="72"/>
      <c r="I30" s="72"/>
      <c r="J30" s="72"/>
      <c r="K30" s="73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1"/>
      <c r="G31" s="72"/>
      <c r="H31" s="72"/>
      <c r="I31" s="72"/>
      <c r="J31" s="72"/>
      <c r="K31" s="73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1"/>
      <c r="G32" s="72"/>
      <c r="H32" s="72"/>
      <c r="I32" s="72"/>
      <c r="J32" s="72"/>
      <c r="K32" s="73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1"/>
      <c r="G33" s="72"/>
      <c r="H33" s="72"/>
      <c r="I33" s="72"/>
      <c r="J33" s="72"/>
      <c r="K33" s="73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1"/>
      <c r="G34" s="72"/>
      <c r="H34" s="72"/>
      <c r="I34" s="72"/>
      <c r="J34" s="72"/>
      <c r="K34" s="73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1"/>
      <c r="G35" s="72"/>
      <c r="H35" s="72"/>
      <c r="I35" s="72"/>
      <c r="J35" s="72"/>
      <c r="K35" s="73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1"/>
      <c r="G36" s="72"/>
      <c r="H36" s="72"/>
      <c r="I36" s="72"/>
      <c r="J36" s="72"/>
      <c r="K36" s="73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1"/>
      <c r="G37" s="72"/>
      <c r="H37" s="72"/>
      <c r="I37" s="72"/>
      <c r="J37" s="72"/>
      <c r="K37" s="73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1"/>
      <c r="G38" s="72"/>
      <c r="H38" s="72"/>
      <c r="I38" s="72"/>
      <c r="J38" s="72"/>
      <c r="K38" s="73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1"/>
      <c r="G39" s="72"/>
      <c r="H39" s="72"/>
      <c r="I39" s="72"/>
      <c r="J39" s="72"/>
      <c r="K39" s="73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4"/>
      <c r="G40" s="75"/>
      <c r="H40" s="75"/>
      <c r="I40" s="75"/>
      <c r="J40" s="75"/>
      <c r="K40" s="76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78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79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0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0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0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79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0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0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79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0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6">
        <v>22.99</v>
      </c>
      <c r="F52" s="47" t="s">
        <v>260</v>
      </c>
      <c r="G52" s="82" t="s">
        <v>176</v>
      </c>
      <c r="H52" s="84" t="s">
        <v>259</v>
      </c>
      <c r="I52" s="86"/>
      <c r="J52" s="80"/>
      <c r="K52" s="66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7"/>
      <c r="F53" s="47" t="s">
        <v>255</v>
      </c>
      <c r="G53" s="83"/>
      <c r="H53" s="85"/>
      <c r="I53" s="87"/>
      <c r="J53" s="80"/>
      <c r="K53" s="67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0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0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1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77" t="s">
        <v>290</v>
      </c>
      <c r="G58" s="69"/>
      <c r="H58" s="69"/>
      <c r="I58" s="69"/>
      <c r="J58" s="69"/>
      <c r="K58" s="70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1"/>
      <c r="G59" s="72"/>
      <c r="H59" s="72"/>
      <c r="I59" s="72"/>
      <c r="J59" s="72"/>
      <c r="K59" s="73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1"/>
      <c r="G60" s="72"/>
      <c r="H60" s="72"/>
      <c r="I60" s="72"/>
      <c r="J60" s="72"/>
      <c r="K60" s="73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1"/>
      <c r="G61" s="72"/>
      <c r="H61" s="72"/>
      <c r="I61" s="72"/>
      <c r="J61" s="72"/>
      <c r="K61" s="73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1"/>
      <c r="G62" s="72"/>
      <c r="H62" s="72"/>
      <c r="I62" s="72"/>
      <c r="J62" s="72"/>
      <c r="K62" s="73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1"/>
      <c r="G63" s="72"/>
      <c r="H63" s="72"/>
      <c r="I63" s="72"/>
      <c r="J63" s="72"/>
      <c r="K63" s="73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1"/>
      <c r="G64" s="72"/>
      <c r="H64" s="72"/>
      <c r="I64" s="72"/>
      <c r="J64" s="72"/>
      <c r="K64" s="73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1"/>
      <c r="G65" s="72"/>
      <c r="H65" s="72"/>
      <c r="I65" s="72"/>
      <c r="J65" s="72"/>
      <c r="K65" s="73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1"/>
      <c r="G66" s="72"/>
      <c r="H66" s="72"/>
      <c r="I66" s="72"/>
      <c r="J66" s="72"/>
      <c r="K66" s="73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1"/>
      <c r="G67" s="72"/>
      <c r="H67" s="72"/>
      <c r="I67" s="72"/>
      <c r="J67" s="72"/>
      <c r="K67" s="73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1"/>
      <c r="G68" s="72"/>
      <c r="H68" s="72"/>
      <c r="I68" s="72"/>
      <c r="J68" s="72"/>
      <c r="K68" s="73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1"/>
      <c r="G69" s="72"/>
      <c r="H69" s="72"/>
      <c r="I69" s="72"/>
      <c r="J69" s="72"/>
      <c r="K69" s="73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1"/>
      <c r="G70" s="72"/>
      <c r="H70" s="72"/>
      <c r="I70" s="72"/>
      <c r="J70" s="72"/>
      <c r="K70" s="73"/>
    </row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</hyperlinks>
  <pageMargins left="0.7" right="0.7" top="0.75" bottom="0.75" header="0.3" footer="0.3"/>
  <pageSetup orientation="portrait" r:id="rId26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2026-08-10T07:34:01Z</dcterms:modified>
  <dc:language>en-US</dc:language>
</cp:coreProperties>
</file>