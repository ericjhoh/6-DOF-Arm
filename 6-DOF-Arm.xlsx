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ADBA8DFD-6C6E-4C1A-AA6F-0940B37E4555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4" i="3" l="1"/>
  <c r="K55" i="3"/>
  <c r="K49" i="3"/>
  <c r="K52" i="3"/>
  <c r="K51" i="3"/>
  <c r="K48" i="3"/>
  <c r="K46" i="3"/>
  <c r="K41" i="3" s="1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K11" i="3" l="1"/>
  <c r="K3" i="3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  <c r="K2" i="3" l="1"/>
</calcChain>
</file>

<file path=xl/sharedStrings.xml><?xml version="1.0" encoding="utf-8"?>
<sst xmlns="http://schemas.openxmlformats.org/spreadsheetml/2006/main" count="394" uniqueCount="319">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</sst>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0" fontId="3" fillId="2" borderId="0" xfId="0" applyFont="1" applyFill="1"/>
    <xf numFmtId="14" fontId="14" fillId="5" borderId="2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opLeftCell="A24" zoomScaleNormal="100" workbookViewId="0">
      <selection activeCell="N40" sqref="N40"/>
    </sheetView>
  </sheetViews>
  <sheetFormatPr defaultColWidth="8.6640625" defaultRowHeight="14.4" x14ac:dyDescent="0.3"/>
  <cols>
    <col min="1" max="1" width="45.88671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8" x14ac:dyDescent="0.3">
      <c r="A1" s="1" t="s">
        <v>0</v>
      </c>
    </row>
    <row r="2" spans="1:9" x14ac:dyDescent="0.3">
      <c r="A2" s="2" t="s">
        <v>1</v>
      </c>
    </row>
    <row r="4" spans="1:9" x14ac:dyDescent="0.3">
      <c r="A4" s="87" t="s">
        <v>2</v>
      </c>
      <c r="B4" s="87"/>
      <c r="C4" s="87"/>
      <c r="D4" s="87"/>
      <c r="E4" s="87"/>
      <c r="F4" s="87"/>
      <c r="G4" s="87"/>
      <c r="H4" s="87"/>
      <c r="I4" s="87"/>
    </row>
    <row r="5" spans="1:9" x14ac:dyDescent="0.3">
      <c r="A5" s="3" t="s">
        <v>3</v>
      </c>
      <c r="B5" s="4">
        <v>0.16</v>
      </c>
      <c r="C5" s="3" t="s">
        <v>4</v>
      </c>
    </row>
    <row r="6" spans="1:9" x14ac:dyDescent="0.3">
      <c r="A6" s="3" t="s">
        <v>5</v>
      </c>
      <c r="B6" s="4">
        <v>0.16</v>
      </c>
      <c r="C6" s="3" t="s">
        <v>4</v>
      </c>
    </row>
    <row r="7" spans="1:9" x14ac:dyDescent="0.3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3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3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3">
      <c r="A11" s="87" t="s">
        <v>12</v>
      </c>
      <c r="B11" s="87"/>
      <c r="C11" s="87"/>
      <c r="D11" s="87"/>
      <c r="E11" s="87"/>
      <c r="F11" s="87"/>
      <c r="G11" s="87"/>
      <c r="H11" s="87"/>
      <c r="I11" s="87"/>
    </row>
    <row r="12" spans="1:9" x14ac:dyDescent="0.3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3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3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3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3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3">
      <c r="A17" s="3" t="s">
        <v>24</v>
      </c>
      <c r="B17" s="4">
        <v>0.06</v>
      </c>
      <c r="C17" s="3" t="s">
        <v>14</v>
      </c>
    </row>
    <row r="18" spans="1:9" x14ac:dyDescent="0.3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3">
      <c r="A20" s="87" t="s">
        <v>27</v>
      </c>
      <c r="B20" s="87"/>
      <c r="C20" s="87"/>
      <c r="D20" s="87"/>
      <c r="E20" s="87"/>
      <c r="F20" s="87"/>
      <c r="G20" s="87"/>
      <c r="H20" s="87"/>
      <c r="I20" s="87"/>
    </row>
    <row r="21" spans="1:9" x14ac:dyDescent="0.3">
      <c r="A21" s="3" t="s">
        <v>28</v>
      </c>
      <c r="B21" s="7">
        <v>9.81</v>
      </c>
      <c r="C21" s="3" t="s">
        <v>29</v>
      </c>
    </row>
    <row r="22" spans="1:9" x14ac:dyDescent="0.3">
      <c r="A22" s="3" t="s">
        <v>30</v>
      </c>
      <c r="B22" s="8">
        <v>1.5</v>
      </c>
      <c r="I22" s="2" t="s">
        <v>31</v>
      </c>
    </row>
    <row r="24" spans="1:9" x14ac:dyDescent="0.3">
      <c r="A24" s="87" t="s">
        <v>32</v>
      </c>
      <c r="B24" s="87"/>
      <c r="C24" s="87"/>
      <c r="D24" s="87"/>
      <c r="E24" s="87"/>
      <c r="F24" s="87"/>
      <c r="G24" s="87"/>
      <c r="H24" s="87"/>
      <c r="I24" s="87"/>
    </row>
    <row r="25" spans="1:9" x14ac:dyDescent="0.3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3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3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3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3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3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3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3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3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3">
      <c r="A34" s="3" t="s">
        <v>55</v>
      </c>
      <c r="B34" s="10">
        <v>0.85</v>
      </c>
      <c r="C34" s="3" t="s">
        <v>42</v>
      </c>
    </row>
    <row r="36" spans="1:9" x14ac:dyDescent="0.3">
      <c r="A36" s="87" t="s">
        <v>56</v>
      </c>
      <c r="B36" s="87"/>
      <c r="C36" s="87"/>
      <c r="D36" s="87"/>
      <c r="E36" s="87"/>
      <c r="F36" s="87"/>
      <c r="G36" s="87"/>
      <c r="H36" s="87"/>
      <c r="I36" s="87"/>
    </row>
    <row r="37" spans="1:9" ht="26.4" x14ac:dyDescent="0.3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3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3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3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3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3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3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3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3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3">
      <c r="A47" s="87" t="s">
        <v>72</v>
      </c>
      <c r="B47" s="87"/>
      <c r="C47" s="87"/>
      <c r="D47" s="87"/>
      <c r="E47" s="87"/>
      <c r="F47" s="87"/>
      <c r="G47" s="87"/>
      <c r="H47" s="87"/>
      <c r="I47" s="87"/>
    </row>
    <row r="48" spans="1:9" x14ac:dyDescent="0.3">
      <c r="A48" s="3" t="s">
        <v>73</v>
      </c>
      <c r="F48" s="20">
        <f>B15*$B$21*(B7/2)</f>
        <v>5.8860000000000003E-2</v>
      </c>
    </row>
    <row r="49" spans="1:9" x14ac:dyDescent="0.3">
      <c r="A49" s="3" t="s">
        <v>74</v>
      </c>
      <c r="F49" s="20">
        <f>B16*$B$21*B7</f>
        <v>0.15696000000000002</v>
      </c>
    </row>
    <row r="50" spans="1:9" x14ac:dyDescent="0.3">
      <c r="A50" s="21" t="s">
        <v>75</v>
      </c>
      <c r="F50" s="22">
        <f>F48+F49</f>
        <v>0.21582000000000001</v>
      </c>
      <c r="I50" s="2" t="s">
        <v>76</v>
      </c>
    </row>
    <row r="52" spans="1:9" x14ac:dyDescent="0.3">
      <c r="A52" s="87" t="s">
        <v>77</v>
      </c>
      <c r="B52" s="87"/>
      <c r="C52" s="87"/>
      <c r="D52" s="87"/>
      <c r="E52" s="87"/>
      <c r="F52" s="87"/>
      <c r="G52" s="87"/>
      <c r="H52" s="87"/>
      <c r="I52" s="87"/>
    </row>
    <row r="53" spans="1:9" ht="26.4" x14ac:dyDescent="0.3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3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3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3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3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3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3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3">
      <c r="A61" s="5" t="s">
        <v>93</v>
      </c>
    </row>
    <row r="62" spans="1:9" x14ac:dyDescent="0.3">
      <c r="A62" s="2" t="s">
        <v>94</v>
      </c>
    </row>
    <row r="63" spans="1:9" x14ac:dyDescent="0.3">
      <c r="A63" s="2" t="s">
        <v>95</v>
      </c>
    </row>
    <row r="64" spans="1:9" x14ac:dyDescent="0.3">
      <c r="A64" s="2" t="s">
        <v>96</v>
      </c>
    </row>
    <row r="65" spans="1:1" x14ac:dyDescent="0.3">
      <c r="A65" s="2" t="s">
        <v>97</v>
      </c>
    </row>
    <row r="66" spans="1:1" x14ac:dyDescent="0.3">
      <c r="A66" s="2" t="s">
        <v>98</v>
      </c>
    </row>
    <row r="67" spans="1:1" x14ac:dyDescent="0.3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8" x14ac:dyDescent="0.3">
      <c r="A1" s="1" t="s">
        <v>100</v>
      </c>
    </row>
    <row r="2" spans="1:6" x14ac:dyDescent="0.3">
      <c r="A2" s="2" t="s">
        <v>101</v>
      </c>
    </row>
    <row r="4" spans="1:6" x14ac:dyDescent="0.3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9.6" x14ac:dyDescent="0.3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6" x14ac:dyDescent="0.3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6" x14ac:dyDescent="0.3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6" x14ac:dyDescent="0.3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6" x14ac:dyDescent="0.3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2.8" x14ac:dyDescent="0.3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6" x14ac:dyDescent="0.3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2.8" x14ac:dyDescent="0.3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6" x14ac:dyDescent="0.3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9.6" x14ac:dyDescent="0.3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tabSelected="1" zoomScale="90" zoomScaleNormal="90" workbookViewId="0">
      <selection activeCell="S48" sqref="S4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59.6640625" bestFit="1" customWidth="1"/>
    <col min="4" max="4" width="4.109375" bestFit="1" customWidth="1"/>
    <col min="5" max="5" width="13.33203125" bestFit="1" customWidth="1"/>
    <col min="6" max="6" width="66.109375" bestFit="1" customWidth="1"/>
    <col min="7" max="7" width="10.5546875" bestFit="1" customWidth="1"/>
    <col min="8" max="8" width="22" bestFit="1" customWidth="1"/>
    <col min="9" max="9" width="17.6640625" bestFit="1" customWidth="1"/>
    <col min="10" max="10" width="15.109375" bestFit="1" customWidth="1"/>
    <col min="11" max="11" width="13.6640625" bestFit="1" customWidth="1"/>
    <col min="12" max="12" width="10.109375" bestFit="1" customWidth="1"/>
  </cols>
  <sheetData>
    <row r="1" spans="1:11" x14ac:dyDescent="0.3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1" x14ac:dyDescent="0.3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1" x14ac:dyDescent="0.3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1" x14ac:dyDescent="0.3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1" x14ac:dyDescent="0.3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1" x14ac:dyDescent="0.3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1" ht="28.8" x14ac:dyDescent="0.3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1" x14ac:dyDescent="0.3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1" x14ac:dyDescent="0.3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180</v>
      </c>
      <c r="G9" s="38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1" x14ac:dyDescent="0.3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</row>
    <row r="11" spans="1:11" x14ac:dyDescent="0.3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1" x14ac:dyDescent="0.3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3">
        <v>7.68</v>
      </c>
      <c r="K12" s="32">
        <f>I12*E12</f>
        <v>7.21</v>
      </c>
    </row>
    <row r="13" spans="1:11" x14ac:dyDescent="0.3">
      <c r="A13" s="54"/>
      <c r="B13" s="54"/>
      <c r="C13" s="55"/>
      <c r="D13" s="54"/>
      <c r="E13" s="56"/>
      <c r="F13" s="54"/>
      <c r="G13" s="54"/>
      <c r="H13" s="58"/>
      <c r="I13" s="54"/>
      <c r="J13" s="85"/>
      <c r="K13" s="56"/>
    </row>
    <row r="14" spans="1:11" x14ac:dyDescent="0.3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86"/>
      <c r="K14" s="32">
        <f>I14*E14</f>
        <v>38.97</v>
      </c>
    </row>
    <row r="15" spans="1:11" x14ac:dyDescent="0.3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86"/>
      <c r="K15" s="32">
        <f t="shared" ref="K15:K25" si="0">I15*E15</f>
        <v>9.99</v>
      </c>
    </row>
    <row r="16" spans="1:11" x14ac:dyDescent="0.3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86"/>
      <c r="K16" s="32">
        <f t="shared" si="0"/>
        <v>9.7899999999999991</v>
      </c>
    </row>
    <row r="17" spans="1:11" x14ac:dyDescent="0.3">
      <c r="A17" s="54"/>
      <c r="B17" s="54"/>
      <c r="C17" s="55"/>
      <c r="D17" s="54"/>
      <c r="E17" s="56"/>
      <c r="F17" s="54"/>
      <c r="G17" s="54"/>
      <c r="H17" s="54"/>
      <c r="I17" s="54"/>
      <c r="J17" s="85"/>
      <c r="K17" s="56"/>
    </row>
    <row r="18" spans="1:11" x14ac:dyDescent="0.3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86"/>
      <c r="K18" s="32">
        <f t="shared" si="0"/>
        <v>6.99</v>
      </c>
    </row>
    <row r="19" spans="1:11" x14ac:dyDescent="0.3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86"/>
      <c r="K19" s="32">
        <f t="shared" si="0"/>
        <v>8.99</v>
      </c>
    </row>
    <row r="20" spans="1:11" x14ac:dyDescent="0.3">
      <c r="A20" s="54"/>
      <c r="B20" s="54"/>
      <c r="C20" s="55"/>
      <c r="D20" s="54"/>
      <c r="E20" s="56"/>
      <c r="F20" s="54"/>
      <c r="G20" s="54"/>
      <c r="H20" s="54"/>
      <c r="I20" s="54"/>
      <c r="J20" s="85"/>
      <c r="K20" s="56"/>
    </row>
    <row r="21" spans="1:11" x14ac:dyDescent="0.3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86"/>
      <c r="K21" s="32">
        <f t="shared" si="0"/>
        <v>15.58</v>
      </c>
    </row>
    <row r="22" spans="1:11" x14ac:dyDescent="0.3">
      <c r="A22" s="47" t="s">
        <v>187</v>
      </c>
      <c r="B22" s="33">
        <v>3</v>
      </c>
      <c r="C22" s="34" t="s">
        <v>217</v>
      </c>
      <c r="D22" s="33">
        <v>9</v>
      </c>
      <c r="E22" s="63">
        <v>22.99</v>
      </c>
      <c r="F22" s="47" t="s">
        <v>247</v>
      </c>
      <c r="G22" s="79" t="s">
        <v>176</v>
      </c>
      <c r="H22" s="81">
        <v>46230</v>
      </c>
      <c r="I22" s="83">
        <v>1</v>
      </c>
      <c r="J22" s="86"/>
      <c r="K22" s="63">
        <f t="shared" si="0"/>
        <v>22.99</v>
      </c>
    </row>
    <row r="23" spans="1:11" x14ac:dyDescent="0.3">
      <c r="A23" s="47" t="s">
        <v>186</v>
      </c>
      <c r="B23" s="33">
        <v>3</v>
      </c>
      <c r="C23" s="34" t="s">
        <v>221</v>
      </c>
      <c r="D23" s="33">
        <v>7</v>
      </c>
      <c r="E23" s="64"/>
      <c r="F23" s="47" t="s">
        <v>255</v>
      </c>
      <c r="G23" s="80"/>
      <c r="H23" s="82"/>
      <c r="I23" s="84"/>
      <c r="J23" s="86"/>
      <c r="K23" s="64"/>
    </row>
    <row r="24" spans="1:11" x14ac:dyDescent="0.3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86"/>
      <c r="K24" s="32"/>
    </row>
    <row r="25" spans="1:11" x14ac:dyDescent="0.3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86"/>
      <c r="K25" s="32">
        <f t="shared" si="0"/>
        <v>7.29</v>
      </c>
    </row>
    <row r="26" spans="1:11" x14ac:dyDescent="0.3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4"/>
      <c r="K26" s="32"/>
    </row>
    <row r="27" spans="1:11" x14ac:dyDescent="0.3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3">
      <c r="A28" s="33" t="s">
        <v>220</v>
      </c>
      <c r="B28" s="33">
        <v>3</v>
      </c>
      <c r="C28" s="50" t="s">
        <v>261</v>
      </c>
      <c r="D28" s="33">
        <v>1</v>
      </c>
      <c r="E28" s="32"/>
      <c r="F28" s="65" t="s">
        <v>233</v>
      </c>
      <c r="G28" s="66"/>
      <c r="H28" s="66"/>
      <c r="I28" s="66"/>
      <c r="J28" s="66"/>
      <c r="K28" s="67"/>
    </row>
    <row r="29" spans="1:11" x14ac:dyDescent="0.3">
      <c r="A29" s="33" t="s">
        <v>222</v>
      </c>
      <c r="B29" s="33">
        <v>3</v>
      </c>
      <c r="C29" s="50" t="s">
        <v>262</v>
      </c>
      <c r="D29" s="33">
        <v>1</v>
      </c>
      <c r="E29" s="32"/>
      <c r="F29" s="68"/>
      <c r="G29" s="69"/>
      <c r="H29" s="69"/>
      <c r="I29" s="69"/>
      <c r="J29" s="69"/>
      <c r="K29" s="70"/>
    </row>
    <row r="30" spans="1:11" x14ac:dyDescent="0.3">
      <c r="A30" s="33" t="s">
        <v>223</v>
      </c>
      <c r="B30" s="33">
        <v>3</v>
      </c>
      <c r="C30" s="50" t="s">
        <v>263</v>
      </c>
      <c r="D30" s="33">
        <v>78</v>
      </c>
      <c r="E30" s="32"/>
      <c r="F30" s="68"/>
      <c r="G30" s="69"/>
      <c r="H30" s="69"/>
      <c r="I30" s="69"/>
      <c r="J30" s="69"/>
      <c r="K30" s="70"/>
    </row>
    <row r="31" spans="1:11" x14ac:dyDescent="0.3">
      <c r="A31" s="33" t="s">
        <v>224</v>
      </c>
      <c r="B31" s="33">
        <v>3</v>
      </c>
      <c r="C31" s="50" t="s">
        <v>264</v>
      </c>
      <c r="D31" s="33">
        <v>39</v>
      </c>
      <c r="E31" s="32"/>
      <c r="F31" s="68"/>
      <c r="G31" s="69"/>
      <c r="H31" s="69"/>
      <c r="I31" s="69"/>
      <c r="J31" s="69"/>
      <c r="K31" s="70"/>
    </row>
    <row r="32" spans="1:11" x14ac:dyDescent="0.3">
      <c r="A32" s="33" t="s">
        <v>225</v>
      </c>
      <c r="B32" s="33">
        <v>3</v>
      </c>
      <c r="C32" s="50" t="s">
        <v>265</v>
      </c>
      <c r="D32" s="33">
        <v>2</v>
      </c>
      <c r="E32" s="32"/>
      <c r="F32" s="68"/>
      <c r="G32" s="69"/>
      <c r="H32" s="69"/>
      <c r="I32" s="69"/>
      <c r="J32" s="69"/>
      <c r="K32" s="70"/>
    </row>
    <row r="33" spans="1:17" x14ac:dyDescent="0.3">
      <c r="A33" s="33" t="s">
        <v>226</v>
      </c>
      <c r="B33" s="33">
        <v>3</v>
      </c>
      <c r="C33" s="50" t="s">
        <v>266</v>
      </c>
      <c r="D33" s="33">
        <v>2</v>
      </c>
      <c r="E33" s="32"/>
      <c r="F33" s="68"/>
      <c r="G33" s="69"/>
      <c r="H33" s="69"/>
      <c r="I33" s="69"/>
      <c r="J33" s="69"/>
      <c r="K33" s="70"/>
    </row>
    <row r="34" spans="1:17" x14ac:dyDescent="0.3">
      <c r="A34" s="33" t="s">
        <v>227</v>
      </c>
      <c r="B34" s="33">
        <v>3</v>
      </c>
      <c r="C34" s="50" t="s">
        <v>267</v>
      </c>
      <c r="D34" s="33">
        <v>1</v>
      </c>
      <c r="E34" s="32"/>
      <c r="F34" s="68"/>
      <c r="G34" s="69"/>
      <c r="H34" s="69"/>
      <c r="I34" s="69"/>
      <c r="J34" s="69"/>
      <c r="K34" s="70"/>
    </row>
    <row r="35" spans="1:17" x14ac:dyDescent="0.3">
      <c r="A35" s="33" t="s">
        <v>228</v>
      </c>
      <c r="B35" s="33">
        <v>3</v>
      </c>
      <c r="C35" s="50" t="s">
        <v>268</v>
      </c>
      <c r="D35" s="33">
        <v>1</v>
      </c>
      <c r="E35" s="32"/>
      <c r="F35" s="68"/>
      <c r="G35" s="69"/>
      <c r="H35" s="69"/>
      <c r="I35" s="69"/>
      <c r="J35" s="69"/>
      <c r="K35" s="70"/>
    </row>
    <row r="36" spans="1:17" x14ac:dyDescent="0.3">
      <c r="A36" s="33" t="s">
        <v>229</v>
      </c>
      <c r="B36" s="33">
        <v>3</v>
      </c>
      <c r="C36" s="50" t="s">
        <v>269</v>
      </c>
      <c r="D36" s="33">
        <v>1</v>
      </c>
      <c r="E36" s="32"/>
      <c r="F36" s="68"/>
      <c r="G36" s="69"/>
      <c r="H36" s="69"/>
      <c r="I36" s="69"/>
      <c r="J36" s="69"/>
      <c r="K36" s="70"/>
    </row>
    <row r="37" spans="1:17" x14ac:dyDescent="0.3">
      <c r="A37" s="33" t="s">
        <v>231</v>
      </c>
      <c r="B37" s="33">
        <v>3</v>
      </c>
      <c r="C37" s="50" t="s">
        <v>270</v>
      </c>
      <c r="D37" s="33">
        <v>1</v>
      </c>
      <c r="E37" s="32"/>
      <c r="F37" s="68"/>
      <c r="G37" s="69"/>
      <c r="H37" s="69"/>
      <c r="I37" s="69"/>
      <c r="J37" s="69"/>
      <c r="K37" s="70"/>
      <c r="Q37" s="48"/>
    </row>
    <row r="38" spans="1:17" x14ac:dyDescent="0.3">
      <c r="A38" s="33" t="s">
        <v>232</v>
      </c>
      <c r="B38" s="33">
        <v>3</v>
      </c>
      <c r="C38" s="50" t="s">
        <v>271</v>
      </c>
      <c r="D38" s="33">
        <v>1</v>
      </c>
      <c r="E38" s="32"/>
      <c r="F38" s="68"/>
      <c r="G38" s="69"/>
      <c r="H38" s="69"/>
      <c r="I38" s="69"/>
      <c r="J38" s="69"/>
      <c r="K38" s="70"/>
    </row>
    <row r="39" spans="1:17" x14ac:dyDescent="0.3">
      <c r="A39" s="33" t="s">
        <v>244</v>
      </c>
      <c r="B39" s="33">
        <v>3</v>
      </c>
      <c r="C39" s="50" t="s">
        <v>271</v>
      </c>
      <c r="D39" s="33">
        <v>1</v>
      </c>
      <c r="E39" s="32"/>
      <c r="F39" s="68"/>
      <c r="G39" s="69"/>
      <c r="H39" s="69"/>
      <c r="I39" s="69"/>
      <c r="J39" s="69"/>
      <c r="K39" s="70"/>
    </row>
    <row r="40" spans="1:17" x14ac:dyDescent="0.3">
      <c r="A40" s="33" t="s">
        <v>245</v>
      </c>
      <c r="B40" s="33">
        <v>3</v>
      </c>
      <c r="C40" s="50" t="s">
        <v>272</v>
      </c>
      <c r="D40" s="33">
        <v>1</v>
      </c>
      <c r="E40" s="32"/>
      <c r="F40" s="71"/>
      <c r="G40" s="72"/>
      <c r="H40" s="72"/>
      <c r="I40" s="72"/>
      <c r="J40" s="72"/>
      <c r="K40" s="73"/>
    </row>
    <row r="41" spans="1:17" x14ac:dyDescent="0.3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3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88">
        <v>46237</v>
      </c>
      <c r="I42" s="33">
        <v>1</v>
      </c>
      <c r="J42" s="75">
        <v>5.87</v>
      </c>
      <c r="K42" s="32">
        <f>I42*E42</f>
        <v>7.21</v>
      </c>
    </row>
    <row r="43" spans="1:17" x14ac:dyDescent="0.3">
      <c r="A43" s="54"/>
      <c r="B43" s="54"/>
      <c r="C43" s="55"/>
      <c r="D43" s="54"/>
      <c r="E43" s="56"/>
      <c r="F43" s="54"/>
      <c r="G43" s="54"/>
      <c r="H43" s="58"/>
      <c r="I43" s="54"/>
      <c r="J43" s="76"/>
      <c r="K43" s="56"/>
    </row>
    <row r="44" spans="1:17" ht="28.8" x14ac:dyDescent="0.3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88">
        <v>46237</v>
      </c>
      <c r="I44" s="33">
        <v>3</v>
      </c>
      <c r="J44" s="77"/>
      <c r="K44" s="32">
        <f>I44*E44</f>
        <v>38.97</v>
      </c>
    </row>
    <row r="45" spans="1:17" ht="28.8" x14ac:dyDescent="0.3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88">
        <v>46237</v>
      </c>
      <c r="I45" s="33">
        <v>1</v>
      </c>
      <c r="J45" s="77"/>
      <c r="K45" s="32">
        <f t="shared" ref="K45:K46" si="1">I45*E45</f>
        <v>8.09</v>
      </c>
    </row>
    <row r="46" spans="1:17" ht="28.8" x14ac:dyDescent="0.3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88">
        <v>46237</v>
      </c>
      <c r="I46" s="33">
        <v>1</v>
      </c>
      <c r="J46" s="77"/>
      <c r="K46" s="32">
        <f t="shared" si="1"/>
        <v>9.99</v>
      </c>
    </row>
    <row r="47" spans="1:17" x14ac:dyDescent="0.3">
      <c r="A47" s="54"/>
      <c r="B47" s="54"/>
      <c r="C47" s="55"/>
      <c r="D47" s="54"/>
      <c r="E47" s="56"/>
      <c r="F47" s="54"/>
      <c r="G47" s="54"/>
      <c r="H47" s="54"/>
      <c r="I47" s="54"/>
      <c r="J47" s="76"/>
      <c r="K47" s="56"/>
    </row>
    <row r="48" spans="1:17" x14ac:dyDescent="0.3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77"/>
      <c r="K48" s="32">
        <f t="shared" ref="K48:K55" si="2">I48*E48</f>
        <v>0</v>
      </c>
    </row>
    <row r="49" spans="1:17" x14ac:dyDescent="0.3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77"/>
      <c r="K49" s="32">
        <f>I49*E49</f>
        <v>0</v>
      </c>
    </row>
    <row r="50" spans="1:17" x14ac:dyDescent="0.3">
      <c r="A50" s="59"/>
      <c r="B50" s="54"/>
      <c r="C50" s="55"/>
      <c r="D50" s="54"/>
      <c r="E50" s="56"/>
      <c r="F50" s="54"/>
      <c r="G50" s="54"/>
      <c r="H50" s="54"/>
      <c r="I50" s="54"/>
      <c r="J50" s="76"/>
      <c r="K50" s="56"/>
    </row>
    <row r="51" spans="1:17" ht="28.8" x14ac:dyDescent="0.3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88">
        <v>46237</v>
      </c>
      <c r="I51" s="33">
        <v>3</v>
      </c>
      <c r="J51" s="77"/>
      <c r="K51" s="32">
        <f t="shared" ref="K51:K52" si="3">I51*E51</f>
        <v>23.37</v>
      </c>
      <c r="Q51" s="31"/>
    </row>
    <row r="52" spans="1:17" x14ac:dyDescent="0.3">
      <c r="A52" s="47" t="s">
        <v>295</v>
      </c>
      <c r="B52" s="33">
        <v>3</v>
      </c>
      <c r="C52" s="34" t="s">
        <v>217</v>
      </c>
      <c r="D52" s="33">
        <v>9</v>
      </c>
      <c r="E52" s="63">
        <v>22.99</v>
      </c>
      <c r="F52" s="47" t="s">
        <v>260</v>
      </c>
      <c r="G52" s="79" t="s">
        <v>176</v>
      </c>
      <c r="H52" s="81" t="s">
        <v>259</v>
      </c>
      <c r="I52" s="83"/>
      <c r="J52" s="77"/>
      <c r="K52" s="63">
        <f t="shared" si="3"/>
        <v>0</v>
      </c>
    </row>
    <row r="53" spans="1:17" x14ac:dyDescent="0.3">
      <c r="A53" s="47" t="s">
        <v>296</v>
      </c>
      <c r="B53" s="33">
        <v>3</v>
      </c>
      <c r="C53" s="34" t="s">
        <v>221</v>
      </c>
      <c r="D53" s="33">
        <v>7</v>
      </c>
      <c r="E53" s="64"/>
      <c r="F53" s="47" t="s">
        <v>255</v>
      </c>
      <c r="G53" s="80"/>
      <c r="H53" s="82"/>
      <c r="I53" s="84"/>
      <c r="J53" s="77"/>
      <c r="K53" s="64"/>
    </row>
    <row r="54" spans="1:17" x14ac:dyDescent="0.3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88">
        <v>46237</v>
      </c>
      <c r="I54" s="33">
        <v>1</v>
      </c>
      <c r="J54" s="77"/>
      <c r="K54" s="32">
        <f>I54*E54</f>
        <v>9.99</v>
      </c>
    </row>
    <row r="55" spans="1:17" x14ac:dyDescent="0.3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77"/>
      <c r="K55" s="32">
        <f t="shared" si="2"/>
        <v>0</v>
      </c>
    </row>
    <row r="56" spans="1:17" x14ac:dyDescent="0.3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78"/>
      <c r="K56" s="32"/>
    </row>
    <row r="57" spans="1:17" x14ac:dyDescent="0.3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3">
      <c r="A58" s="47" t="s">
        <v>300</v>
      </c>
      <c r="B58" s="33">
        <v>3</v>
      </c>
      <c r="C58" s="50" t="s">
        <v>273</v>
      </c>
      <c r="D58" s="33">
        <v>1</v>
      </c>
      <c r="E58" s="32"/>
      <c r="F58" s="74" t="s">
        <v>290</v>
      </c>
      <c r="G58" s="66"/>
      <c r="H58" s="66"/>
      <c r="I58" s="66"/>
      <c r="J58" s="66"/>
      <c r="K58" s="67"/>
    </row>
    <row r="59" spans="1:17" x14ac:dyDescent="0.3">
      <c r="A59" s="47" t="s">
        <v>301</v>
      </c>
      <c r="B59" s="33">
        <v>3</v>
      </c>
      <c r="C59" s="50" t="s">
        <v>274</v>
      </c>
      <c r="D59" s="33">
        <v>1</v>
      </c>
      <c r="E59" s="32"/>
      <c r="F59" s="68"/>
      <c r="G59" s="69"/>
      <c r="H59" s="69"/>
      <c r="I59" s="69"/>
      <c r="J59" s="69"/>
      <c r="K59" s="70"/>
    </row>
    <row r="60" spans="1:17" x14ac:dyDescent="0.3">
      <c r="A60" s="47" t="s">
        <v>302</v>
      </c>
      <c r="B60" s="33">
        <v>3</v>
      </c>
      <c r="C60" s="50" t="s">
        <v>275</v>
      </c>
      <c r="D60" s="33">
        <v>44</v>
      </c>
      <c r="E60" s="32"/>
      <c r="F60" s="68"/>
      <c r="G60" s="69"/>
      <c r="H60" s="69"/>
      <c r="I60" s="69"/>
      <c r="J60" s="69"/>
      <c r="K60" s="70"/>
    </row>
    <row r="61" spans="1:17" x14ac:dyDescent="0.3">
      <c r="A61" s="47" t="s">
        <v>303</v>
      </c>
      <c r="B61" s="33">
        <v>3</v>
      </c>
      <c r="C61" s="50" t="s">
        <v>276</v>
      </c>
      <c r="D61" s="33">
        <v>22</v>
      </c>
      <c r="E61" s="32"/>
      <c r="F61" s="68"/>
      <c r="G61" s="69"/>
      <c r="H61" s="69"/>
      <c r="I61" s="69"/>
      <c r="J61" s="69"/>
      <c r="K61" s="70"/>
    </row>
    <row r="62" spans="1:17" x14ac:dyDescent="0.3">
      <c r="A62" s="47" t="s">
        <v>304</v>
      </c>
      <c r="B62" s="33">
        <v>3</v>
      </c>
      <c r="C62" s="50" t="s">
        <v>277</v>
      </c>
      <c r="D62" s="33">
        <v>2</v>
      </c>
      <c r="E62" s="32"/>
      <c r="F62" s="68"/>
      <c r="G62" s="69"/>
      <c r="H62" s="69"/>
      <c r="I62" s="69"/>
      <c r="J62" s="69"/>
      <c r="K62" s="70"/>
    </row>
    <row r="63" spans="1:17" x14ac:dyDescent="0.3">
      <c r="A63" s="47" t="s">
        <v>305</v>
      </c>
      <c r="B63" s="33">
        <v>3</v>
      </c>
      <c r="C63" s="50" t="s">
        <v>278</v>
      </c>
      <c r="D63" s="33">
        <v>2</v>
      </c>
      <c r="E63" s="32"/>
      <c r="F63" s="68"/>
      <c r="G63" s="69"/>
      <c r="H63" s="69"/>
      <c r="I63" s="69"/>
      <c r="J63" s="69"/>
      <c r="K63" s="70"/>
    </row>
    <row r="64" spans="1:17" x14ac:dyDescent="0.3">
      <c r="A64" s="47" t="s">
        <v>306</v>
      </c>
      <c r="B64" s="33">
        <v>3</v>
      </c>
      <c r="C64" s="50" t="s">
        <v>279</v>
      </c>
      <c r="D64" s="33">
        <v>1</v>
      </c>
      <c r="E64" s="32"/>
      <c r="F64" s="68"/>
      <c r="G64" s="69"/>
      <c r="H64" s="69"/>
      <c r="I64" s="69"/>
      <c r="J64" s="69"/>
      <c r="K64" s="70"/>
    </row>
    <row r="65" spans="1:11" x14ac:dyDescent="0.3">
      <c r="A65" s="47" t="s">
        <v>307</v>
      </c>
      <c r="B65" s="33">
        <v>3</v>
      </c>
      <c r="C65" s="50" t="s">
        <v>280</v>
      </c>
      <c r="D65" s="33">
        <v>1</v>
      </c>
      <c r="E65" s="32"/>
      <c r="F65" s="68"/>
      <c r="G65" s="69"/>
      <c r="H65" s="69"/>
      <c r="I65" s="69"/>
      <c r="J65" s="69"/>
      <c r="K65" s="70"/>
    </row>
    <row r="66" spans="1:11" x14ac:dyDescent="0.3">
      <c r="A66" s="47" t="s">
        <v>308</v>
      </c>
      <c r="B66" s="33">
        <v>3</v>
      </c>
      <c r="C66" s="50" t="s">
        <v>281</v>
      </c>
      <c r="D66" s="33">
        <v>1</v>
      </c>
      <c r="E66" s="32"/>
      <c r="F66" s="68"/>
      <c r="G66" s="69"/>
      <c r="H66" s="69"/>
      <c r="I66" s="69"/>
      <c r="J66" s="69"/>
      <c r="K66" s="70"/>
    </row>
    <row r="67" spans="1:11" x14ac:dyDescent="0.3">
      <c r="A67" s="47" t="s">
        <v>309</v>
      </c>
      <c r="B67" s="33">
        <v>3</v>
      </c>
      <c r="C67" s="50" t="s">
        <v>282</v>
      </c>
      <c r="D67" s="33">
        <v>1</v>
      </c>
      <c r="E67" s="32"/>
      <c r="F67" s="68"/>
      <c r="G67" s="69"/>
      <c r="H67" s="69"/>
      <c r="I67" s="69"/>
      <c r="J67" s="69"/>
      <c r="K67" s="70"/>
    </row>
    <row r="68" spans="1:11" x14ac:dyDescent="0.3">
      <c r="A68" s="47" t="s">
        <v>310</v>
      </c>
      <c r="B68" s="33">
        <v>3</v>
      </c>
      <c r="C68" s="50" t="s">
        <v>283</v>
      </c>
      <c r="D68" s="33">
        <v>1</v>
      </c>
      <c r="E68" s="32"/>
      <c r="F68" s="68"/>
      <c r="G68" s="69"/>
      <c r="H68" s="69"/>
      <c r="I68" s="69"/>
      <c r="J68" s="69"/>
      <c r="K68" s="70"/>
    </row>
    <row r="69" spans="1:11" x14ac:dyDescent="0.3">
      <c r="A69" s="47" t="s">
        <v>311</v>
      </c>
      <c r="B69" s="33">
        <v>3</v>
      </c>
      <c r="C69" s="50" t="s">
        <v>283</v>
      </c>
      <c r="D69" s="33">
        <v>1</v>
      </c>
      <c r="E69" s="32"/>
      <c r="F69" s="68"/>
      <c r="G69" s="69"/>
      <c r="H69" s="69"/>
      <c r="I69" s="69"/>
      <c r="J69" s="69"/>
      <c r="K69" s="70"/>
    </row>
    <row r="70" spans="1:11" x14ac:dyDescent="0.3">
      <c r="A70" s="47" t="s">
        <v>312</v>
      </c>
      <c r="B70" s="33">
        <v>3</v>
      </c>
      <c r="C70" s="50" t="s">
        <v>284</v>
      </c>
      <c r="D70" s="33">
        <v>1</v>
      </c>
      <c r="E70" s="32"/>
      <c r="F70" s="68"/>
      <c r="G70" s="69"/>
      <c r="H70" s="69"/>
      <c r="I70" s="69"/>
      <c r="J70" s="69"/>
      <c r="K70" s="70"/>
    </row>
  </sheetData>
  <mergeCells count="14">
    <mergeCell ref="K22:K23"/>
    <mergeCell ref="J12:J26"/>
    <mergeCell ref="H22:H23"/>
    <mergeCell ref="G22:G23"/>
    <mergeCell ref="I22:I23"/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2026-08-04T01:03:22Z</dcterms:modified>
  <dc:language>en-US</dc:language>
</cp:coreProperties>
</file>