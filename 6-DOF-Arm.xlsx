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C1BA4751-F5D9-45A3-9659-608289DA6FC6}" xr6:coauthVersionLast="47" xr6:coauthVersionMax="47" xr10:uidLastSave="{00000000-0000-0000-0000-000000000000}"/>
  <bookViews>
    <workbookView xWindow="-120" yWindow="-120" windowWidth="38640" windowHeight="23520" tabRatio="500" activeTab="2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1" i="3" l="1"/>
  <c r="K24" i="3"/>
  <c r="K25" i="3"/>
  <c r="K26" i="3"/>
  <c r="K28" i="3"/>
  <c r="K29" i="3"/>
  <c r="K31" i="3"/>
  <c r="K32" i="3"/>
  <c r="K35" i="3"/>
  <c r="K22" i="3"/>
  <c r="K54" i="3"/>
  <c r="K16" i="3"/>
  <c r="J95" i="3"/>
  <c r="J90" i="3"/>
  <c r="J87" i="3"/>
  <c r="J82" i="3"/>
  <c r="J80" i="3"/>
  <c r="J79" i="3"/>
  <c r="K19" i="3"/>
  <c r="K18" i="3"/>
  <c r="K17" i="3"/>
  <c r="G10" i="3"/>
  <c r="E59" i="1"/>
  <c r="F59" i="1" s="1"/>
  <c r="G59" i="1" s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F54" i="1" s="1"/>
  <c r="G54" i="1" s="1"/>
  <c r="D54" i="1"/>
  <c r="C54" i="1"/>
  <c r="F49" i="1"/>
  <c r="F48" i="1"/>
  <c r="E44" i="1"/>
  <c r="D44" i="1"/>
  <c r="B44" i="1"/>
  <c r="F44" i="1" s="1"/>
  <c r="E43" i="1"/>
  <c r="D43" i="1"/>
  <c r="B43" i="1"/>
  <c r="G43" i="1" s="1"/>
  <c r="E42" i="1"/>
  <c r="D42" i="1"/>
  <c r="B42" i="1"/>
  <c r="G42" i="1" s="1"/>
  <c r="E41" i="1"/>
  <c r="D41" i="1"/>
  <c r="B41" i="1"/>
  <c r="G41" i="1" s="1"/>
  <c r="E40" i="1"/>
  <c r="D40" i="1"/>
  <c r="B40" i="1"/>
  <c r="F40" i="1" s="1"/>
  <c r="F39" i="1"/>
  <c r="D39" i="1"/>
  <c r="B39" i="1"/>
  <c r="D38" i="1"/>
  <c r="B38" i="1"/>
  <c r="F38" i="1" s="1"/>
  <c r="B9" i="1"/>
  <c r="J78" i="3" l="1"/>
  <c r="K15" i="3"/>
  <c r="J99" i="3" s="1"/>
  <c r="F50" i="1"/>
  <c r="G44" i="1"/>
  <c r="B57" i="1"/>
  <c r="C57" i="1" s="1"/>
  <c r="B58" i="1"/>
  <c r="C58" i="1" s="1"/>
  <c r="F58" i="1" s="1"/>
  <c r="G58" i="1" s="1"/>
  <c r="F57" i="1"/>
  <c r="G57" i="1" s="1"/>
  <c r="G40" i="1"/>
  <c r="G45" i="1" s="1"/>
  <c r="B56" i="1" s="1"/>
  <c r="C56" i="1" s="1"/>
  <c r="F56" i="1" s="1"/>
  <c r="G56" i="1" s="1"/>
  <c r="F42" i="1"/>
  <c r="F41" i="1"/>
  <c r="F45" i="1" s="1"/>
  <c r="B55" i="1" s="1"/>
  <c r="C55" i="1" s="1"/>
  <c r="F55" i="1" s="1"/>
  <c r="G55" i="1" s="1"/>
  <c r="F43" i="1"/>
</calcChain>
</file>

<file path=xl/sharedStrings.xml><?xml version="1.0" encoding="utf-8"?>
<sst xmlns="http://schemas.openxmlformats.org/spreadsheetml/2006/main" count="403" uniqueCount="326">
  <si>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</si>
  <si>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</si>
  <si>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</si>
  <si>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</si>
  <si>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</si>
  <si>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</si>
  <si>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</si>
  <si>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</si>
  <si>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</si>
  <si>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</si>
  <si>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</si>
  <si>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</si>
  <si>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</si>
  <si>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</si>
  <si>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</si>
  <si>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</si>
  <si>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</si>
  <si>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</si>
  <si>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</si>
  <si>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</si>
  <si>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</si>
  <si>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</si>
  <si>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</si>
  <si>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</si>
  <si>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</si>
  <si>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</si>
  <si>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</si>
  <si>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</si>
  <si>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</si>
  <si>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</si>
  <si>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</si>
  <si>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</si>
  <si>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</si>
  <si>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</si>
  <si>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</si>
  <si>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</si>
  <si>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</si>
  <si>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</si>
  <si>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</si>
  <si>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</si>
  <si>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</si>
  <si>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</si>
  <si>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</si>
  <si>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</si>
  <si>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</si>
  <si>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</si>
  <si>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</si>
  <si>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</si>
  <si>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</si>
  <si>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</si>
  <si>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</si>
  <si>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</si>
  <si>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</si>
  <si>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</si>
  <si>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</si>
  <si>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</si>
  <si>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</si>
  <si>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</si>
  <si>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</si>
  <si>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</si>
  <si>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</si>
  <si>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</si>
  <si>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</si>
  <si>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</si>
  <si>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</si>
  <si>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</si>
  <si>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</si>
  <si>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</si>
  <si>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</si>
  <si>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</si>
  <si>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</si>
  <si>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</si>
  <si>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</si>
  <si>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</si>
  <si>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</si>
  <si>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</si>
  <si>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</si>
  <si>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</si>
  <si>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</si>
  <si>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</si>
  <si>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</si>
  <si>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</si>
  <si>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</si>
  <si>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</si>
  <si>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</si>
  <si>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</si>
  <si>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</si>
  <si>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</si>
  <si>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</si>
  <si>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</si>
  <si>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</si>
  <si>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</si>
  <si>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</si>
  <si>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</si>
  <si>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</si>
  <si>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</si>
  <si>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</si>
  <si>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</si>
  <si>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</si>
  <si>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</si>
  <si>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</si>
  <si>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</si>
  <si>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</si>
  <si>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</si>
  <si>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</si>
  <si>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</si>
  <si>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</si>
  <si>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</si>
  <si>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</si>
  <si>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</si>
  <si>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</si>
  <si>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</si>
  <si>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</si>
  <si>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</si>
  <si>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</si>
  <si>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</si>
  <si>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</si>
  <si>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</si>
  <si>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</si>
  <si>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</si>
  <si>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</si>
  <si>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</si>
  <si>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</si>
  <si>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</si>
  <si>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</si>
  <si>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</si>
  <si>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</si>
  <si>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</si>
  <si>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</si>
  <si>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</si>
  <si>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</si>
  <si>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</si>
  <si>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</si>
  <si>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</si>
  <si>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</si>
  <si>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</si>
  <si>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</si>
  <si>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</si>
  <si>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</si>
  <si>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</si>
  <si>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</si>
  <si>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</si>
  <si>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</si>
  <si>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</si>
  <si>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</si>
  <si>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</si>
  <si>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</si>
  <si>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</si>
  <si>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</si>
  <si>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</si>
  <si>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</si>
  <si>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</si>
  <si>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</si>
  <si>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</si>
  <si>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</si>
  <si>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</si>
  <si>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</si>
  <si>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</si>
  <si>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</si>
  <si>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</si>
  <si>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</si>
  <si>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</si>
  <si>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</si>
  <si>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</si>
  <si>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</si>
  <si>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</si>
  <si>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</si>
  <si>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</si>
  <si>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</si>
  <si>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</si>
  <si>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</si>
  <si>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Additional Information</t>
  </si>
  <si>
    <t>moteus-c1</t>
  </si>
  <si>
    <t>moteus r4 heat spreader</t>
  </si>
  <si>
    <t>moteus r4.11 controller</t>
  </si>
  <si>
    <t>mj5208 brushless motor</t>
  </si>
  <si>
    <t>link</t>
  </si>
  <si>
    <t>moteus r4.11 developer kit</t>
  </si>
  <si>
    <t>SteadyWin GIM3505-8 Planetary Reducer Motor</t>
  </si>
  <si>
    <t>Purchase V1.0</t>
  </si>
  <si>
    <t>Here</t>
  </si>
  <si>
    <t>Total</t>
  </si>
  <si>
    <t>N/A</t>
  </si>
  <si>
    <t>Price per Unit</t>
  </si>
  <si>
    <t>Ordered On</t>
  </si>
  <si>
    <t>(only ordered 1)</t>
  </si>
  <si>
    <t>shipping 11.07</t>
  </si>
  <si>
    <t>shipping 30</t>
  </si>
  <si>
    <t># Ordered</t>
  </si>
  <si>
    <t>Grand Total</t>
  </si>
  <si>
    <t>TBD</t>
  </si>
  <si>
    <t>Misc bearings / spacers</t>
  </si>
  <si>
    <t>1.7.2</t>
  </si>
  <si>
    <t>Fasteners (M3 / M4 assortment)</t>
  </si>
  <si>
    <t>1.7.1</t>
  </si>
  <si>
    <t>1.7</t>
  </si>
  <si>
    <t>Wiring, connectors, service loops</t>
  </si>
  <si>
    <t>1.6.4</t>
  </si>
  <si>
    <t>TBD — physical cutoff</t>
  </si>
  <si>
    <t>E-stop (cuts motor power)</t>
  </si>
  <si>
    <t>1.6.3</t>
  </si>
  <si>
    <t>One adapter drives the whole chain</t>
  </si>
  <si>
    <t>mjcanfd-usb-1x CAN-FD adapter</t>
  </si>
  <si>
    <t>1.6.2</t>
  </si>
  <si>
    <t>24 V PSU (~10–15 A)</t>
  </si>
  <si>
    <t>1.6.1</t>
  </si>
  <si>
    <t>Power &amp; electronics</t>
  </si>
  <si>
    <t>1.6</t>
  </si>
  <si>
    <t>Jaws / fingers</t>
  </si>
  <si>
    <t>1.5.2</t>
  </si>
  <si>
    <t>TBD — keep cluster &lt; 0.2 kg</t>
  </si>
  <si>
    <t>Gripper actuator</t>
  </si>
  <si>
    <t>1.5.1</t>
  </si>
  <si>
    <t>End-effector — gripper</t>
  </si>
  <si>
    <t>1.5</t>
  </si>
  <si>
    <t>TBD — bearings on all moment-loaded joints, esp. J4</t>
  </si>
  <si>
    <t>Moment bearings (joint output interfaces)</t>
  </si>
  <si>
    <t>1.4.4</t>
  </si>
  <si>
    <t>Base plate / mount</t>
  </si>
  <si>
    <t>1.4.3</t>
  </si>
  <si>
    <t>TBD — bolted, adjustable link length</t>
  </si>
  <si>
    <t>Split-clamp tube fittings</t>
  </si>
  <si>
    <t>1.4.2</t>
  </si>
  <si>
    <t>TBD — split-clamp fittings, not glued</t>
  </si>
  <si>
    <t>Carbon-fiber tube (upper arm + forearm)</t>
  </si>
  <si>
    <t>1.4.1</t>
  </si>
  <si>
    <t>Structural links &amp; frame</t>
  </si>
  <si>
    <t>1.4</t>
  </si>
  <si>
    <t>Self-printed — J4 needs hollow-bore wire pass-through</t>
  </si>
  <si>
    <t>Printed reducer / housing</t>
  </si>
  <si>
    <t>1.3.3</t>
  </si>
  <si>
    <t>J4, J5, J6</t>
  </si>
  <si>
    <t>moteus-c1 controller</t>
  </si>
  <si>
    <t>1.3.2</t>
  </si>
  <si>
    <t>SteadyWin GIM3505-8 planetary reducer motor</t>
  </si>
  <si>
    <t>1.3.1</t>
  </si>
  <si>
    <t>Distal joint actuation — J4–J6  (GIM3505-8 + moteus-c1)</t>
  </si>
  <si>
    <t>1.3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</si>
  <si>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</si>
  <si>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</si>
  <si>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</si>
  <si>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</si>
  <si>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</si>
  <si>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</si>
  <si>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</si>
  <si>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</si>
  <si>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</si>
  <si>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</si>
  <si>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</si>
  <si>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</si>
  <si>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Self-printed; J2 30:1 broken out as subassembly 1.2</t>
  </si>
  <si>
    <t>Printed cycloidal gearbox — 15:1 (J1 &amp; J3)</t>
  </si>
  <si>
    <t>1.1.5</t>
  </si>
  <si>
    <t>(1 of 3 ordered)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</si>
  <si>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</si>
  <si>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</si>
  <si>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</si>
  <si>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</si>
  <si>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</si>
  <si>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</si>
  <si>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</si>
  <si>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</si>
  <si>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</si>
  <si>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</si>
  <si>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</si>
  <si>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</si>
  <si>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</si>
  <si>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</si>
  <si>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</si>
  <si>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</si>
  <si>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</si>
  <si>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</si>
  <si>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</si>
  <si>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</si>
  <si>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</si>
  <si>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</si>
  <si>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</si>
  <si>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</si>
  <si>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</si>
  <si>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</si>
  <si>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</si>
  <si>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</si>
  <si>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</si>
  <si>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</si>
  <si>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</si>
  <si>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</si>
  <si>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Thin Spacer</t>
  </si>
  <si>
    <t>Thick Spacer</t>
  </si>
  <si>
    <t>Input Flange</t>
  </si>
  <si>
    <t>Ouput Flange</t>
  </si>
  <si>
    <t>Specifications</t>
  </si>
  <si>
    <t xml:space="preserve">Cycloidal Disk </t>
  </si>
  <si>
    <t xml:space="preserve">Eccentric Cam </t>
  </si>
  <si>
    <t>1.2.22</t>
  </si>
  <si>
    <t>Centered Cam</t>
  </si>
  <si>
    <t>Input Cam</t>
  </si>
  <si>
    <t>Motor Housing</t>
  </si>
  <si>
    <t>1.2.23</t>
  </si>
  <si>
    <t>Mid Wall</t>
  </si>
  <si>
    <t>Output Wall</t>
  </si>
  <si>
    <t>3D Printed Parts</t>
  </si>
  <si>
    <t>Coupler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</si>
  <si>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</si>
  <si>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</si>
  <si>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</si>
  <si>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</si>
  <si>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</si>
  <si>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</si>
  <si>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</si>
  <si>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</si>
  <si>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</si>
  <si>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</si>
  <si>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</si>
  <si>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</si>
  <si>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</si>
  <si>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 xml:space="preserve">M3 x 4mm length </t>
  </si>
  <si>
    <t>M5x0.8 x 13mm length</t>
  </si>
  <si>
    <t>Already Have</t>
  </si>
  <si>
    <t xml:space="preserve">M2.5 x 4mm length </t>
  </si>
  <si>
    <t>Total Cost</t>
  </si>
  <si>
    <t>M2.5 Set Screw</t>
  </si>
  <si>
    <t>M2.5 x 4mm length (50 pieces)</t>
  </si>
  <si>
    <t>.5 spacer</t>
  </si>
  <si>
    <t>1.2.26</t>
  </si>
  <si>
    <t>Shipping/Tax</t>
  </si>
  <si>
    <t># of Packs Ordered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</si>
</sst>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9" fillId="6" borderId="2" xfId="0" applyFont="1" applyFill="1" applyBorder="1" applyAlignment="1">
      <alignment horizontal="center"/>
    </xf>
    <xf numFmtId="0" fontId="9" fillId="6" borderId="2" xfId="0" applyFont="1" applyFill="1" applyBorder="1"/>
    <xf numFmtId="44" fontId="0" fillId="0" borderId="2" xfId="1" applyFont="1" applyBorder="1"/>
    <xf numFmtId="0" fontId="0" fillId="0" borderId="2" xfId="0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0" fontId="8" fillId="7" borderId="2" xfId="2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44" fontId="0" fillId="8" borderId="2" xfId="1" applyFont="1" applyFill="1" applyBorder="1" applyAlignment="1">
      <alignment horizontal="center"/>
    </xf>
    <xf numFmtId="0" fontId="8" fillId="8" borderId="2" xfId="2" applyFill="1" applyBorder="1" applyAlignment="1">
      <alignment horizontal="center"/>
    </xf>
    <xf numFmtId="0" fontId="0" fillId="0" borderId="2" xfId="0" applyBorder="1"/>
    <xf numFmtId="14" fontId="0" fillId="0" borderId="2" xfId="0" applyNumberFormat="1" applyBorder="1" applyAlignment="1">
      <alignment horizontal="center"/>
    </xf>
    <xf numFmtId="14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166" fontId="10" fillId="9" borderId="4" xfId="0" applyNumberFormat="1" applyFont="1" applyFill="1" applyBorder="1" applyAlignment="1">
      <alignment horizontal="center" vertical="center"/>
    </xf>
    <xf numFmtId="0" fontId="0" fillId="9" borderId="4" xfId="0" applyFill="1" applyBorder="1"/>
    <xf numFmtId="0" fontId="10" fillId="9" borderId="4" xfId="0" applyFont="1" applyFill="1" applyBorder="1" applyAlignment="1">
      <alignment horizontal="right" vertical="center"/>
    </xf>
    <xf numFmtId="0" fontId="11" fillId="0" borderId="0" xfId="0" applyFont="1"/>
    <xf numFmtId="166" fontId="11" fillId="5" borderId="4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left" vertical="center" indent="2"/>
    </xf>
    <xf numFmtId="166" fontId="10" fillId="10" borderId="4" xfId="0" applyNumberFormat="1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left" vertical="center" indent="1"/>
    </xf>
    <xf numFmtId="0" fontId="12" fillId="5" borderId="4" xfId="0" applyFont="1" applyFill="1" applyBorder="1" applyAlignment="1">
      <alignment horizontal="center" vertical="center"/>
    </xf>
    <xf numFmtId="14" fontId="11" fillId="5" borderId="4" xfId="0" applyNumberFormat="1" applyFont="1" applyFill="1" applyBorder="1" applyAlignment="1">
      <alignment horizontal="center" vertical="center"/>
    </xf>
    <xf numFmtId="14" fontId="10" fillId="10" borderId="4" xfId="0" applyNumberFormat="1" applyFont="1" applyFill="1" applyBorder="1" applyAlignment="1">
      <alignment horizontal="center" vertical="center"/>
    </xf>
    <xf numFmtId="166" fontId="13" fillId="11" borderId="4" xfId="0" applyNumberFormat="1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left" vertical="center"/>
    </xf>
    <xf numFmtId="0" fontId="10" fillId="9" borderId="4" xfId="0" applyFont="1" applyFill="1" applyBorder="1" applyAlignment="1">
      <alignment horizontal="center" vertical="center"/>
    </xf>
    <xf numFmtId="166" fontId="8" fillId="5" borderId="4" xfId="2" applyNumberFormat="1" applyFill="1" applyBorder="1" applyAlignment="1">
      <alignment horizontal="center" vertical="center"/>
    </xf>
    <xf numFmtId="0" fontId="8" fillId="5" borderId="4" xfId="2" applyFill="1" applyBorder="1" applyAlignment="1">
      <alignment horizontal="center" vertical="center"/>
    </xf>
    <xf numFmtId="0" fontId="11" fillId="5" borderId="5" xfId="0" applyFont="1" applyFill="1" applyBorder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15" fillId="0" borderId="0" xfId="0" applyFont="1"/>
    <xf numFmtId="0" fontId="16" fillId="9" borderId="4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left" vertical="center" indent="2"/>
    </xf>
    <xf numFmtId="0" fontId="11" fillId="5" borderId="5" xfId="0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0" fontId="8" fillId="5" borderId="7" xfId="2" applyFill="1" applyBorder="1" applyAlignment="1">
      <alignment horizontal="center" vertical="center"/>
    </xf>
    <xf numFmtId="166" fontId="11" fillId="5" borderId="5" xfId="0" applyNumberFormat="1" applyFont="1" applyFill="1" applyBorder="1" applyAlignment="1">
      <alignment horizontal="center" vertical="center"/>
    </xf>
    <xf numFmtId="166" fontId="11" fillId="5" borderId="7" xfId="0" applyNumberFormat="1" applyFont="1" applyFill="1" applyBorder="1" applyAlignment="1">
      <alignment horizontal="center" vertical="center"/>
    </xf>
    <xf numFmtId="0" fontId="3" fillId="2" borderId="0" xfId="0" applyFont="1" applyFill="1"/>
    <xf numFmtId="166" fontId="11" fillId="5" borderId="6" xfId="0" applyNumberFormat="1" applyFont="1" applyFill="1" applyBorder="1" applyAlignment="1">
      <alignment horizontal="center" vertical="center"/>
    </xf>
    <xf numFmtId="14" fontId="11" fillId="5" borderId="5" xfId="0" applyNumberFormat="1" applyFont="1" applyFill="1" applyBorder="1" applyAlignment="1">
      <alignment horizontal="center" vertical="center"/>
    </xf>
    <xf numFmtId="14" fontId="11" fillId="5" borderId="7" xfId="0" applyNumberFormat="1" applyFont="1" applyFill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aifitlab.com/products/steadywin-gim3505-8-planetary-reducer-servo-motor?variant=44388211785864" TargetMode="External"/><Relationship Id="rId13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8" Type="http://schemas.openxmlformats.org/officeDocument/2006/relationships/hyperlink" Target="https://www.amazon.com/Hanglife-HANGLIFE-Heat-Set-Threaded-Inserts/dp/B0CS6YVJYD?th=1" TargetMode="External"/><Relationship Id="rId3" Type="http://schemas.openxmlformats.org/officeDocument/2006/relationships/hyperlink" Target="https://mjbots.com/products/mj5208?variant=37262679900321" TargetMode="External"/><Relationship Id="rId21" Type="http://schemas.openxmlformats.org/officeDocument/2006/relationships/hyperlink" Target="https://www.amazon.com/Fgruh-Assortment-Assorted-Stainless-Hardware/dp/B0FG2964F5/ref=sr_1_1_sspa?crid=2NV5LFBQ81MS9&amp;dib=eyJ2IjoiMSJ9.cuBJ5G2d98fh1Tef_3PCuEvSr0_7MqTb3URx4CtWOZfxkvxgVa-9zQGMTKO5Ymr9ZH3l7xxg5d9RTYddmQ644JJPecixior-K854uknk0vjK3Zw8HOMGK3Zqc7s6ZdjpuD55R5CFeuXqXIUF3-AHYT-SmdneIf3cWsy0Z_8Ril_S6g2yLIQMc_SNt-_DHClOEFSpY9ua3_3r5WHMBAa-cjahBjP8T1Vi0c2sxCY4QgE.juLVk8-faXI6S0QH2h0S5Nryv1qWK8NH46MKwCWTYTU&amp;dib_tag=se&amp;keywords=m3%2Bscrews&amp;qid=1785107274&amp;sprefix=m3%2Bscrew%2Caps%2C132&amp;sr=8-1-spons&amp;sp_csd=d2lkZ2V0TmFtZT1zcF9hdGY&amp;th=1" TargetMode="External"/><Relationship Id="rId7" Type="http://schemas.openxmlformats.org/officeDocument/2006/relationships/hyperlink" Target="https://mjbots.com/products/moteus-c1?variant=43658365927585" TargetMode="External"/><Relationship Id="rId12" Type="http://schemas.openxmlformats.org/officeDocument/2006/relationships/hyperlink" Target="https://mjbots.com/products/mj5208?variant=37262679900321" TargetMode="External"/><Relationship Id="rId17" Type="http://schemas.openxmlformats.org/officeDocument/2006/relationships/hyperlink" Target="https://www.amazon.com/FFVRVSS-Threaded-Assortment-Printing-Components/dp/B0H1V72B3B?th=1" TargetMode="External"/><Relationship Id="rId2" Type="http://schemas.openxmlformats.org/officeDocument/2006/relationships/hyperlink" Target="https://mjbots.com/products/moteus-heat-spreader?variant=37322050437281" TargetMode="External"/><Relationship Id="rId1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20" Type="http://schemas.openxmlformats.org/officeDocument/2006/relationships/hyperlink" Target="https://www.amazon.com/Hexagonal-Wearproof-Intelligent-Robots-Equipment/dp/B09NHQFZZG" TargetMode="External"/><Relationship Id="rId1" Type="http://schemas.openxmlformats.org/officeDocument/2006/relationships/hyperlink" Target="https://mjbots.com/products/moteus-c1?variant=43658365927585" TargetMode="External"/><Relationship Id="rId6" Type="http://schemas.openxmlformats.org/officeDocument/2006/relationships/hyperlink" Target="https://mjbots.com/products/moteus-r4-11?variant=41896124154017" TargetMode="External"/><Relationship Id="rId11" Type="http://schemas.openxmlformats.org/officeDocument/2006/relationships/hyperlink" Target="https://mjbots.com/products/moteus-r4-11?variant=41896124154017" TargetMode="External"/><Relationship Id="rId5" Type="http://schemas.openxmlformats.org/officeDocument/2006/relationships/hyperlink" Target="https://mjbots.com/products/moteus-r4-11-developer-kit" TargetMode="External"/><Relationship Id="rId1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0" Type="http://schemas.openxmlformats.org/officeDocument/2006/relationships/hyperlink" Target="https://mjbots.com/products/moteus-r4-11-developer-kit" TargetMode="External"/><Relationship Id="rId19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4" Type="http://schemas.openxmlformats.org/officeDocument/2006/relationships/hyperlink" Target="https://aifitlab.com/products/steadywin-gim3505-8-planetary-reducer-servo-motor?variant=44388211785864" TargetMode="External"/><Relationship Id="rId9" Type="http://schemas.openxmlformats.org/officeDocument/2006/relationships/hyperlink" Target="https://mjbots.com/products/moteus-heat-spreader?variant=37322050437281" TargetMode="External"/><Relationship Id="rId14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22" Type="http://schemas.openxmlformats.org/officeDocument/2006/relationships/hyperlink" Target="https://www.amazon.com/gp/product/B0GW45XBP2/ref=ox_sc_act_title_1?smid=A2C1Q80HIP80AY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zoomScaleNormal="100" workbookViewId="0">
      <selection activeCell="N40" sqref="N40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77" t="s">
        <v>2</v>
      </c>
      <c r="B4" s="77"/>
      <c r="C4" s="77"/>
      <c r="D4" s="77"/>
      <c r="E4" s="77"/>
      <c r="F4" s="77"/>
      <c r="G4" s="77"/>
      <c r="H4" s="77"/>
      <c r="I4" s="77"/>
    </row>
    <row r="5" spans="1:9" x14ac:dyDescent="0.25">
      <c r="A5" s="3" t="s">
        <v>3</v>
      </c>
      <c r="B5" s="4">
        <v>0.16</v>
      </c>
      <c r="C5" s="3" t="s">
        <v>4</v>
      </c>
    </row>
    <row r="6" spans="1:9" x14ac:dyDescent="0.25">
      <c r="A6" s="3" t="s">
        <v>5</v>
      </c>
      <c r="B6" s="4">
        <v>0.16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77" t="s">
        <v>12</v>
      </c>
      <c r="B11" s="77"/>
      <c r="C11" s="77"/>
      <c r="D11" s="77"/>
      <c r="E11" s="77"/>
      <c r="F11" s="77"/>
      <c r="G11" s="77"/>
      <c r="H11" s="77"/>
      <c r="I11" s="77"/>
    </row>
    <row r="12" spans="1:9" x14ac:dyDescent="0.25">
      <c r="A12" s="3" t="s">
        <v>13</v>
      </c>
      <c r="B12" s="4">
        <v>0.35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77" t="s">
        <v>27</v>
      </c>
      <c r="B20" s="77"/>
      <c r="C20" s="77"/>
      <c r="D20" s="77"/>
      <c r="E20" s="77"/>
      <c r="F20" s="77"/>
      <c r="G20" s="77"/>
      <c r="H20" s="77"/>
      <c r="I20" s="77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77" t="s">
        <v>32</v>
      </c>
      <c r="B24" s="77"/>
      <c r="C24" s="77"/>
      <c r="D24" s="77"/>
      <c r="E24" s="77"/>
      <c r="F24" s="77"/>
      <c r="G24" s="77"/>
      <c r="H24" s="77"/>
      <c r="I24" s="77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9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5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77" t="s">
        <v>56</v>
      </c>
      <c r="B36" s="77"/>
      <c r="C36" s="77"/>
      <c r="D36" s="77"/>
      <c r="E36" s="77"/>
      <c r="F36" s="77"/>
      <c r="G36" s="77"/>
      <c r="H36" s="77"/>
      <c r="I36" s="77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0.08</v>
      </c>
      <c r="E38" s="15" t="s">
        <v>64</v>
      </c>
      <c r="F38" s="16">
        <f t="shared" ref="F38:F44" si="0">B38*$B$21*D38</f>
        <v>4.7088000000000005E-2</v>
      </c>
      <c r="G38" s="16">
        <v>0</v>
      </c>
    </row>
    <row r="39" spans="1:9" x14ac:dyDescent="0.25">
      <c r="A39" s="13" t="s">
        <v>65</v>
      </c>
      <c r="B39" s="14">
        <f>B12</f>
        <v>0.35</v>
      </c>
      <c r="D39" s="14">
        <f>B5</f>
        <v>0.16</v>
      </c>
      <c r="E39" s="15" t="s">
        <v>64</v>
      </c>
      <c r="F39" s="16">
        <f t="shared" si="0"/>
        <v>0.54935999999999996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0.19</v>
      </c>
      <c r="E40" s="14">
        <f>B8</f>
        <v>0.03</v>
      </c>
      <c r="F40" s="16">
        <f t="shared" si="0"/>
        <v>0.22366800000000001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0.24</v>
      </c>
      <c r="E41" s="14">
        <f>B6/2</f>
        <v>0.08</v>
      </c>
      <c r="F41" s="16">
        <f t="shared" si="0"/>
        <v>0.141264</v>
      </c>
      <c r="G41" s="16">
        <f>B41*$B$21*E41</f>
        <v>4.7088000000000005E-2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0.16</v>
      </c>
      <c r="F42" s="16">
        <f t="shared" si="0"/>
        <v>0.69062400000000013</v>
      </c>
      <c r="G42" s="16">
        <f>B42*$B$21*E42</f>
        <v>0.34531200000000006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0.2</v>
      </c>
      <c r="F43" s="16">
        <f t="shared" si="0"/>
        <v>0.52973999999999999</v>
      </c>
      <c r="G43" s="16">
        <f>B43*$B$21*E43</f>
        <v>0.29430000000000001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0.24</v>
      </c>
      <c r="F44" s="16">
        <f t="shared" si="0"/>
        <v>0.78480000000000016</v>
      </c>
      <c r="G44" s="16">
        <f>B44*$B$21*E44</f>
        <v>0.47088000000000002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2.9665440000000003</v>
      </c>
      <c r="G45" s="19">
        <f>SUM(G38:G44)</f>
        <v>1.1928960000000002</v>
      </c>
    </row>
    <row r="47" spans="1:9" x14ac:dyDescent="0.25">
      <c r="A47" s="77" t="s">
        <v>72</v>
      </c>
      <c r="B47" s="77"/>
      <c r="C47" s="77"/>
      <c r="D47" s="77"/>
      <c r="E47" s="77"/>
      <c r="F47" s="77"/>
      <c r="G47" s="77"/>
      <c r="H47" s="77"/>
      <c r="I47" s="77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77" t="s">
        <v>77</v>
      </c>
      <c r="B52" s="77"/>
      <c r="C52" s="77"/>
      <c r="D52" s="77"/>
      <c r="E52" s="77"/>
      <c r="F52" s="77"/>
      <c r="G52" s="77"/>
      <c r="H52" s="77"/>
      <c r="I52" s="77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2.6999999999999997</v>
      </c>
      <c r="F54" s="16">
        <f t="shared" ref="F54:F59" si="2">E54/C54</f>
        <v>3.5999999999999996</v>
      </c>
      <c r="G54" s="25" t="str">
        <f t="shared" ref="G54:G59" si="3">IF(F54&gt;=1,"PASS",IF(F54&gt;=0.85,"MARGINAL","UNDERSIZED"))</f>
        <v>PASS</v>
      </c>
      <c r="H54" s="26">
        <f>B26*B29*B28</f>
        <v>15.299999999999999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2.9665440000000003</v>
      </c>
      <c r="C55" s="16">
        <f t="shared" si="1"/>
        <v>4.4498160000000002</v>
      </c>
      <c r="D55" s="24">
        <f>B30</f>
        <v>30</v>
      </c>
      <c r="E55" s="16">
        <f>B25*B30*B28</f>
        <v>5.3999999999999995</v>
      </c>
      <c r="F55" s="16">
        <f t="shared" si="2"/>
        <v>1.2135333236250665</v>
      </c>
      <c r="G55" s="25" t="str">
        <f t="shared" si="3"/>
        <v>PASS</v>
      </c>
      <c r="H55" s="26">
        <f>B26*B30*B28</f>
        <v>30.599999999999998</v>
      </c>
      <c r="I55" s="24">
        <f>B27/B30*6</f>
        <v>48</v>
      </c>
    </row>
    <row r="56" spans="1:9" x14ac:dyDescent="0.25">
      <c r="A56" s="13" t="s">
        <v>89</v>
      </c>
      <c r="B56" s="16">
        <f>G45</f>
        <v>1.1928960000000002</v>
      </c>
      <c r="C56" s="16">
        <f t="shared" si="1"/>
        <v>1.7893440000000003</v>
      </c>
      <c r="D56" s="24">
        <f>B31</f>
        <v>15</v>
      </c>
      <c r="E56" s="16">
        <f>B25*B31*B28</f>
        <v>2.6999999999999997</v>
      </c>
      <c r="F56" s="16">
        <f t="shared" si="2"/>
        <v>1.5089328826653787</v>
      </c>
      <c r="G56" s="25" t="str">
        <f t="shared" si="3"/>
        <v>PASS</v>
      </c>
      <c r="H56" s="26">
        <f>B26*B31*B28</f>
        <v>15.299999999999999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5</v>
      </c>
      <c r="E57" s="16">
        <f>B32*B33*B34</f>
        <v>0.85</v>
      </c>
      <c r="F57" s="16">
        <f t="shared" si="2"/>
        <v>2.6256448274796895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5</v>
      </c>
      <c r="E58" s="16">
        <f>B32*B33*B34</f>
        <v>0.85</v>
      </c>
      <c r="F58" s="16">
        <f t="shared" si="2"/>
        <v>2.6256448274796895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5</v>
      </c>
      <c r="E59" s="16">
        <f>B32*B33*B34</f>
        <v>0.85</v>
      </c>
      <c r="F59" s="16">
        <f t="shared" si="2"/>
        <v>3.7777777777777781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J7" sqref="J7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99"/>
  <sheetViews>
    <sheetView tabSelected="1" topLeftCell="A7" zoomScale="112" zoomScaleNormal="176" workbookViewId="0">
      <selection activeCell="M34" sqref="M34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12.7109375" bestFit="1" customWidth="1"/>
    <col min="9" max="9" width="17.7109375" bestFit="1" customWidth="1"/>
    <col min="10" max="10" width="15.140625" bestFit="1" customWidth="1"/>
    <col min="11" max="11" width="13.7109375" bestFit="1" customWidth="1"/>
    <col min="12" max="12" width="10.140625" bestFit="1" customWidth="1"/>
  </cols>
  <sheetData>
    <row r="1" spans="1:11" x14ac:dyDescent="0.25">
      <c r="A1" s="31" t="s">
        <v>102</v>
      </c>
      <c r="B1" s="31" t="s">
        <v>170</v>
      </c>
      <c r="C1" s="31" t="s">
        <v>169</v>
      </c>
      <c r="D1" s="31" t="s">
        <v>168</v>
      </c>
      <c r="E1" s="31" t="s">
        <v>183</v>
      </c>
      <c r="F1" s="31" t="s">
        <v>171</v>
      </c>
      <c r="G1" s="31" t="s">
        <v>176</v>
      </c>
      <c r="H1" s="35" t="s">
        <v>184</v>
      </c>
      <c r="I1" s="35" t="s">
        <v>188</v>
      </c>
    </row>
    <row r="2" spans="1:11" x14ac:dyDescent="0.25">
      <c r="A2" s="36">
        <v>1</v>
      </c>
      <c r="B2" s="36">
        <v>3</v>
      </c>
      <c r="C2" s="36" t="s">
        <v>172</v>
      </c>
      <c r="D2" s="36">
        <v>3</v>
      </c>
      <c r="E2" s="37">
        <v>69</v>
      </c>
      <c r="F2" s="36" t="s">
        <v>182</v>
      </c>
      <c r="G2" s="38" t="s">
        <v>180</v>
      </c>
      <c r="H2" s="45"/>
      <c r="I2" s="45"/>
    </row>
    <row r="3" spans="1:11" x14ac:dyDescent="0.25">
      <c r="A3" s="39">
        <v>2</v>
      </c>
      <c r="B3" s="39">
        <v>3</v>
      </c>
      <c r="C3" s="39" t="s">
        <v>173</v>
      </c>
      <c r="D3" s="39">
        <v>3</v>
      </c>
      <c r="E3" s="40">
        <v>29</v>
      </c>
      <c r="F3" s="39" t="s">
        <v>182</v>
      </c>
      <c r="G3" s="41" t="s">
        <v>180</v>
      </c>
      <c r="H3" s="43">
        <v>46213</v>
      </c>
      <c r="I3" s="42" t="s">
        <v>185</v>
      </c>
      <c r="K3" t="s">
        <v>186</v>
      </c>
    </row>
    <row r="4" spans="1:11" x14ac:dyDescent="0.25">
      <c r="A4" s="36">
        <v>3</v>
      </c>
      <c r="B4" s="36">
        <v>3</v>
      </c>
      <c r="C4" s="36" t="s">
        <v>174</v>
      </c>
      <c r="D4" s="36">
        <v>2</v>
      </c>
      <c r="E4" s="37">
        <v>94</v>
      </c>
      <c r="F4" s="36" t="s">
        <v>182</v>
      </c>
      <c r="G4" s="38" t="s">
        <v>180</v>
      </c>
      <c r="H4" s="36"/>
      <c r="I4" s="36"/>
    </row>
    <row r="5" spans="1:11" x14ac:dyDescent="0.25">
      <c r="A5" s="39">
        <v>4</v>
      </c>
      <c r="B5" s="39">
        <v>3</v>
      </c>
      <c r="C5" s="39" t="s">
        <v>175</v>
      </c>
      <c r="D5" s="39">
        <v>2</v>
      </c>
      <c r="E5" s="40">
        <v>74</v>
      </c>
      <c r="F5" s="39" t="s">
        <v>182</v>
      </c>
      <c r="G5" s="41" t="s">
        <v>180</v>
      </c>
      <c r="H5" s="34"/>
      <c r="I5" s="42"/>
    </row>
    <row r="6" spans="1:11" x14ac:dyDescent="0.25">
      <c r="A6" s="36">
        <v>5</v>
      </c>
      <c r="B6" s="36">
        <v>3</v>
      </c>
      <c r="C6" s="36" t="s">
        <v>177</v>
      </c>
      <c r="D6" s="36">
        <v>1</v>
      </c>
      <c r="E6" s="37">
        <v>219</v>
      </c>
      <c r="F6" s="36" t="s">
        <v>182</v>
      </c>
      <c r="G6" s="38" t="s">
        <v>180</v>
      </c>
      <c r="H6" s="44">
        <v>46213</v>
      </c>
      <c r="I6" s="44"/>
    </row>
    <row r="7" spans="1:11" x14ac:dyDescent="0.25">
      <c r="A7" s="39"/>
      <c r="B7" s="39"/>
      <c r="C7" s="39"/>
      <c r="D7" s="39"/>
      <c r="E7" s="40"/>
      <c r="F7" s="39"/>
      <c r="G7" s="39"/>
      <c r="H7" s="34"/>
      <c r="I7" s="42"/>
    </row>
    <row r="8" spans="1:11" x14ac:dyDescent="0.25">
      <c r="A8" s="36">
        <v>6</v>
      </c>
      <c r="B8" s="36">
        <v>3</v>
      </c>
      <c r="C8" s="36" t="s">
        <v>178</v>
      </c>
      <c r="D8" s="36">
        <v>3</v>
      </c>
      <c r="E8" s="37">
        <v>65</v>
      </c>
      <c r="F8" s="36" t="s">
        <v>179</v>
      </c>
      <c r="G8" s="38" t="s">
        <v>180</v>
      </c>
      <c r="H8" s="44">
        <v>46213</v>
      </c>
      <c r="I8" s="44"/>
      <c r="K8" t="s">
        <v>187</v>
      </c>
    </row>
    <row r="9" spans="1:11" x14ac:dyDescent="0.25">
      <c r="A9" s="34"/>
      <c r="B9" s="42"/>
      <c r="C9" s="42"/>
      <c r="D9" s="42"/>
      <c r="E9" s="42"/>
      <c r="F9" s="42"/>
      <c r="G9" s="42"/>
      <c r="H9" s="42"/>
      <c r="I9" s="42"/>
    </row>
    <row r="10" spans="1:11" x14ac:dyDescent="0.25">
      <c r="F10" s="32" t="s">
        <v>181</v>
      </c>
      <c r="G10" s="33">
        <f>SUMPRODUCT($D$2:$D$8,$E$2:$E$8)</f>
        <v>1044</v>
      </c>
    </row>
    <row r="13" spans="1:11" x14ac:dyDescent="0.25">
      <c r="A13" s="62" t="s">
        <v>102</v>
      </c>
      <c r="B13" s="62" t="s">
        <v>170</v>
      </c>
      <c r="C13" s="62" t="s">
        <v>169</v>
      </c>
      <c r="D13" s="62" t="s">
        <v>168</v>
      </c>
      <c r="E13" s="62" t="s">
        <v>183</v>
      </c>
      <c r="F13" s="62" t="s">
        <v>290</v>
      </c>
      <c r="G13" s="62" t="s">
        <v>176</v>
      </c>
      <c r="H13" s="62" t="s">
        <v>184</v>
      </c>
      <c r="I13" s="62" t="s">
        <v>325</v>
      </c>
      <c r="J13" s="68" t="s">
        <v>324</v>
      </c>
      <c r="K13" s="68" t="s">
        <v>319</v>
      </c>
    </row>
    <row r="14" spans="1:11" x14ac:dyDescent="0.25">
      <c r="A14" s="60" t="s">
        <v>108</v>
      </c>
      <c r="B14" s="60">
        <v>1</v>
      </c>
      <c r="C14" s="61" t="s">
        <v>264</v>
      </c>
      <c r="D14" s="60"/>
      <c r="E14" s="59"/>
      <c r="F14" s="60"/>
      <c r="G14" s="60"/>
      <c r="H14" s="60"/>
      <c r="I14" s="60"/>
      <c r="J14" s="59"/>
      <c r="K14" s="59"/>
    </row>
    <row r="15" spans="1:11" x14ac:dyDescent="0.25">
      <c r="A15" s="54" t="s">
        <v>263</v>
      </c>
      <c r="B15" s="54">
        <v>2</v>
      </c>
      <c r="C15" s="55" t="s">
        <v>262</v>
      </c>
      <c r="D15" s="54"/>
      <c r="E15" s="53"/>
      <c r="F15" s="54"/>
      <c r="G15" s="54"/>
      <c r="H15" s="58"/>
      <c r="I15" s="54"/>
      <c r="J15" s="53"/>
      <c r="K15" s="53">
        <f>SUM(K16:K20)</f>
        <v>642</v>
      </c>
    </row>
    <row r="16" spans="1:11" x14ac:dyDescent="0.25">
      <c r="A16" s="51" t="s">
        <v>261</v>
      </c>
      <c r="B16" s="51">
        <v>3</v>
      </c>
      <c r="C16" s="52" t="s">
        <v>175</v>
      </c>
      <c r="D16" s="51">
        <v>2</v>
      </c>
      <c r="E16" s="50">
        <v>74</v>
      </c>
      <c r="F16" s="51" t="s">
        <v>260</v>
      </c>
      <c r="G16" s="56" t="s">
        <v>180</v>
      </c>
      <c r="H16" s="51"/>
      <c r="I16" s="51"/>
      <c r="J16" s="50"/>
      <c r="K16" s="50">
        <f>D16*E16</f>
        <v>148</v>
      </c>
    </row>
    <row r="17" spans="1:11" x14ac:dyDescent="0.25">
      <c r="A17" s="51" t="s">
        <v>259</v>
      </c>
      <c r="B17" s="51">
        <v>3</v>
      </c>
      <c r="C17" s="52" t="s">
        <v>174</v>
      </c>
      <c r="D17" s="51">
        <v>2</v>
      </c>
      <c r="E17" s="50">
        <v>94</v>
      </c>
      <c r="F17" s="51" t="s">
        <v>258</v>
      </c>
      <c r="G17" s="56" t="s">
        <v>180</v>
      </c>
      <c r="H17" s="51"/>
      <c r="I17" s="51"/>
      <c r="J17" s="50"/>
      <c r="K17" s="50">
        <f>D17*E17</f>
        <v>188</v>
      </c>
    </row>
    <row r="18" spans="1:11" x14ac:dyDescent="0.25">
      <c r="A18" s="51" t="s">
        <v>257</v>
      </c>
      <c r="B18" s="51">
        <v>3</v>
      </c>
      <c r="C18" s="52" t="s">
        <v>177</v>
      </c>
      <c r="D18" s="51">
        <v>1</v>
      </c>
      <c r="E18" s="50">
        <v>219</v>
      </c>
      <c r="F18" s="51" t="s">
        <v>256</v>
      </c>
      <c r="G18" s="56" t="s">
        <v>180</v>
      </c>
      <c r="H18" s="57">
        <v>46213</v>
      </c>
      <c r="I18" s="57"/>
      <c r="J18" s="50"/>
      <c r="K18" s="50">
        <f>D18*E18</f>
        <v>219</v>
      </c>
    </row>
    <row r="19" spans="1:11" x14ac:dyDescent="0.25">
      <c r="A19" s="51" t="s">
        <v>255</v>
      </c>
      <c r="B19" s="51">
        <v>3</v>
      </c>
      <c r="C19" s="52" t="s">
        <v>173</v>
      </c>
      <c r="D19" s="51">
        <v>3</v>
      </c>
      <c r="E19" s="50">
        <v>29</v>
      </c>
      <c r="F19" s="51" t="s">
        <v>254</v>
      </c>
      <c r="G19" s="56" t="s">
        <v>180</v>
      </c>
      <c r="H19" s="57">
        <v>46213</v>
      </c>
      <c r="I19" s="51" t="s">
        <v>253</v>
      </c>
      <c r="J19" s="50" t="s">
        <v>186</v>
      </c>
      <c r="K19" s="50">
        <f>D19*E19</f>
        <v>87</v>
      </c>
    </row>
    <row r="20" spans="1:11" x14ac:dyDescent="0.25">
      <c r="A20" s="51" t="s">
        <v>252</v>
      </c>
      <c r="B20" s="51">
        <v>3</v>
      </c>
      <c r="C20" s="52" t="s">
        <v>251</v>
      </c>
      <c r="D20" s="51">
        <v>2</v>
      </c>
      <c r="E20" s="50"/>
      <c r="F20" s="51" t="s">
        <v>250</v>
      </c>
      <c r="G20" s="51"/>
      <c r="H20" s="57"/>
      <c r="I20" s="57"/>
      <c r="J20" s="50"/>
      <c r="K20" s="50"/>
    </row>
    <row r="21" spans="1:11" x14ac:dyDescent="0.25">
      <c r="A21" s="54" t="s">
        <v>249</v>
      </c>
      <c r="B21" s="54">
        <v>2</v>
      </c>
      <c r="C21" s="55" t="s">
        <v>248</v>
      </c>
      <c r="D21" s="54">
        <v>1</v>
      </c>
      <c r="E21" s="53" t="s">
        <v>303</v>
      </c>
      <c r="F21" s="54"/>
      <c r="G21" s="54"/>
      <c r="H21" s="54"/>
      <c r="I21" s="54"/>
      <c r="J21" s="53"/>
      <c r="K21" s="53">
        <f>SUM(K22:K51)+SUM(J22:J51)</f>
        <v>135.47999999999999</v>
      </c>
    </row>
    <row r="22" spans="1:11" x14ac:dyDescent="0.25">
      <c r="A22" s="51" t="s">
        <v>247</v>
      </c>
      <c r="B22" s="51">
        <v>3</v>
      </c>
      <c r="C22" s="52" t="s">
        <v>266</v>
      </c>
      <c r="D22" s="51">
        <v>39</v>
      </c>
      <c r="E22" s="50">
        <v>7.21</v>
      </c>
      <c r="F22" s="51" t="s">
        <v>308</v>
      </c>
      <c r="G22" s="63" t="s">
        <v>180</v>
      </c>
      <c r="H22" s="57">
        <v>46230</v>
      </c>
      <c r="I22" s="51">
        <v>1</v>
      </c>
      <c r="J22" s="75">
        <v>7.68</v>
      </c>
      <c r="K22" s="50">
        <f>I22*E22</f>
        <v>7.21</v>
      </c>
    </row>
    <row r="23" spans="1:11" x14ac:dyDescent="0.25">
      <c r="A23" s="51"/>
      <c r="B23" s="51"/>
      <c r="C23" s="52"/>
      <c r="D23" s="51"/>
      <c r="E23" s="50"/>
      <c r="F23" s="51"/>
      <c r="G23" s="51"/>
      <c r="H23" s="57"/>
      <c r="I23" s="51"/>
      <c r="J23" s="78"/>
      <c r="K23" s="50"/>
    </row>
    <row r="24" spans="1:11" x14ac:dyDescent="0.25">
      <c r="A24" s="51" t="s">
        <v>246</v>
      </c>
      <c r="B24" s="51">
        <v>3</v>
      </c>
      <c r="C24" s="52" t="s">
        <v>267</v>
      </c>
      <c r="D24" s="51">
        <v>78</v>
      </c>
      <c r="E24" s="50">
        <v>12.99</v>
      </c>
      <c r="F24" s="51" t="s">
        <v>307</v>
      </c>
      <c r="G24" s="64" t="s">
        <v>180</v>
      </c>
      <c r="H24" s="57">
        <v>46230</v>
      </c>
      <c r="I24" s="51">
        <v>3</v>
      </c>
      <c r="J24" s="78"/>
      <c r="K24" s="50">
        <f t="shared" ref="K23:K36" si="0">I24*E24</f>
        <v>38.97</v>
      </c>
    </row>
    <row r="25" spans="1:11" x14ac:dyDescent="0.25">
      <c r="A25" s="51" t="s">
        <v>245</v>
      </c>
      <c r="B25" s="51">
        <v>3</v>
      </c>
      <c r="C25" s="52" t="s">
        <v>268</v>
      </c>
      <c r="D25" s="51">
        <v>4</v>
      </c>
      <c r="E25" s="50">
        <v>9.99</v>
      </c>
      <c r="F25" s="51" t="s">
        <v>306</v>
      </c>
      <c r="G25" s="64" t="s">
        <v>180</v>
      </c>
      <c r="H25" s="57">
        <v>46230</v>
      </c>
      <c r="I25" s="51">
        <v>1</v>
      </c>
      <c r="J25" s="78"/>
      <c r="K25" s="50">
        <f t="shared" si="0"/>
        <v>9.99</v>
      </c>
    </row>
    <row r="26" spans="1:11" x14ac:dyDescent="0.25">
      <c r="A26" s="51" t="s">
        <v>244</v>
      </c>
      <c r="B26" s="51">
        <v>3</v>
      </c>
      <c r="C26" s="52" t="s">
        <v>269</v>
      </c>
      <c r="D26" s="51">
        <v>2</v>
      </c>
      <c r="E26" s="50">
        <v>9.7899999999999991</v>
      </c>
      <c r="F26" s="51" t="s">
        <v>305</v>
      </c>
      <c r="G26" s="64" t="s">
        <v>180</v>
      </c>
      <c r="H26" s="57">
        <v>46230</v>
      </c>
      <c r="I26" s="51">
        <v>1</v>
      </c>
      <c r="J26" s="78"/>
      <c r="K26" s="50">
        <f t="shared" si="0"/>
        <v>9.7899999999999991</v>
      </c>
    </row>
    <row r="27" spans="1:11" x14ac:dyDescent="0.25">
      <c r="A27" s="51"/>
      <c r="B27" s="51"/>
      <c r="C27" s="52"/>
      <c r="D27" s="51"/>
      <c r="E27" s="50"/>
      <c r="F27" s="51"/>
      <c r="G27" s="51"/>
      <c r="H27" s="51"/>
      <c r="I27" s="51"/>
      <c r="J27" s="78"/>
      <c r="K27" s="50"/>
    </row>
    <row r="28" spans="1:11" x14ac:dyDescent="0.25">
      <c r="A28" s="51" t="s">
        <v>243</v>
      </c>
      <c r="B28" s="51">
        <v>3</v>
      </c>
      <c r="C28" s="52" t="s">
        <v>271</v>
      </c>
      <c r="D28" s="51">
        <v>15</v>
      </c>
      <c r="E28" s="50">
        <v>6.99</v>
      </c>
      <c r="F28" s="51" t="s">
        <v>304</v>
      </c>
      <c r="G28" s="64" t="s">
        <v>180</v>
      </c>
      <c r="H28" s="57">
        <v>46230</v>
      </c>
      <c r="I28" s="51">
        <v>1</v>
      </c>
      <c r="J28" s="78"/>
      <c r="K28" s="50">
        <f t="shared" si="0"/>
        <v>6.99</v>
      </c>
    </row>
    <row r="29" spans="1:11" x14ac:dyDescent="0.25">
      <c r="A29" s="51" t="s">
        <v>242</v>
      </c>
      <c r="B29" s="51">
        <v>3</v>
      </c>
      <c r="C29" s="52" t="s">
        <v>272</v>
      </c>
      <c r="D29" s="51">
        <v>5</v>
      </c>
      <c r="E29" s="50">
        <v>8.99</v>
      </c>
      <c r="F29" s="51" t="s">
        <v>309</v>
      </c>
      <c r="G29" s="64" t="s">
        <v>180</v>
      </c>
      <c r="H29" s="57">
        <v>46230</v>
      </c>
      <c r="I29" s="51">
        <v>1</v>
      </c>
      <c r="J29" s="78"/>
      <c r="K29" s="50">
        <f t="shared" si="0"/>
        <v>8.99</v>
      </c>
    </row>
    <row r="30" spans="1:11" x14ac:dyDescent="0.25">
      <c r="A30" s="51" t="s">
        <v>241</v>
      </c>
      <c r="B30" s="51"/>
      <c r="C30" s="52"/>
      <c r="D30" s="51"/>
      <c r="E30" s="50"/>
      <c r="F30" s="51"/>
      <c r="G30" s="51"/>
      <c r="H30" s="51"/>
      <c r="I30" s="51"/>
      <c r="J30" s="78"/>
      <c r="K30" s="50"/>
    </row>
    <row r="31" spans="1:11" x14ac:dyDescent="0.25">
      <c r="A31" s="51" t="s">
        <v>240</v>
      </c>
      <c r="B31" s="51">
        <v>3</v>
      </c>
      <c r="C31" s="52" t="s">
        <v>270</v>
      </c>
      <c r="D31" s="51">
        <v>8</v>
      </c>
      <c r="E31" s="50">
        <v>7.79</v>
      </c>
      <c r="F31" s="51" t="s">
        <v>310</v>
      </c>
      <c r="G31" s="64" t="s">
        <v>180</v>
      </c>
      <c r="H31" s="57">
        <v>46230</v>
      </c>
      <c r="I31" s="51">
        <v>2</v>
      </c>
      <c r="J31" s="78"/>
      <c r="K31" s="50">
        <f t="shared" si="0"/>
        <v>15.58</v>
      </c>
    </row>
    <row r="32" spans="1:11" x14ac:dyDescent="0.25">
      <c r="A32" s="51" t="s">
        <v>239</v>
      </c>
      <c r="B32" s="51">
        <v>3</v>
      </c>
      <c r="C32" s="52" t="s">
        <v>273</v>
      </c>
      <c r="D32" s="51">
        <v>9</v>
      </c>
      <c r="E32" s="75">
        <v>22.99</v>
      </c>
      <c r="F32" s="66" t="s">
        <v>316</v>
      </c>
      <c r="G32" s="73" t="s">
        <v>180</v>
      </c>
      <c r="H32" s="79">
        <v>46230</v>
      </c>
      <c r="I32" s="70">
        <v>1</v>
      </c>
      <c r="J32" s="78"/>
      <c r="K32" s="75">
        <f t="shared" si="0"/>
        <v>22.99</v>
      </c>
    </row>
    <row r="33" spans="1:17" x14ac:dyDescent="0.25">
      <c r="A33" s="51" t="s">
        <v>238</v>
      </c>
      <c r="B33" s="51">
        <v>3</v>
      </c>
      <c r="C33" s="52" t="s">
        <v>277</v>
      </c>
      <c r="D33" s="51">
        <v>7</v>
      </c>
      <c r="E33" s="76"/>
      <c r="F33" s="66" t="s">
        <v>315</v>
      </c>
      <c r="G33" s="74"/>
      <c r="H33" s="80"/>
      <c r="I33" s="71"/>
      <c r="J33" s="78"/>
      <c r="K33" s="76"/>
    </row>
    <row r="34" spans="1:17" x14ac:dyDescent="0.25">
      <c r="A34" s="51" t="s">
        <v>274</v>
      </c>
      <c r="B34" s="51">
        <v>3</v>
      </c>
      <c r="C34" s="52" t="s">
        <v>311</v>
      </c>
      <c r="D34" s="51">
        <v>4</v>
      </c>
      <c r="E34" s="50"/>
      <c r="F34" s="66" t="s">
        <v>318</v>
      </c>
      <c r="G34" s="51"/>
      <c r="H34" s="66" t="s">
        <v>317</v>
      </c>
      <c r="I34" s="51"/>
      <c r="J34" s="78"/>
      <c r="K34" s="50"/>
    </row>
    <row r="35" spans="1:17" x14ac:dyDescent="0.25">
      <c r="A35" s="51" t="s">
        <v>275</v>
      </c>
      <c r="B35" s="51">
        <v>3</v>
      </c>
      <c r="C35" s="69" t="s">
        <v>320</v>
      </c>
      <c r="D35" s="51">
        <v>1</v>
      </c>
      <c r="E35" s="50">
        <v>7.29</v>
      </c>
      <c r="F35" s="66" t="s">
        <v>321</v>
      </c>
      <c r="G35" s="64" t="s">
        <v>180</v>
      </c>
      <c r="H35" s="57">
        <v>46230</v>
      </c>
      <c r="I35" s="51">
        <v>1</v>
      </c>
      <c r="J35" s="78"/>
      <c r="K35" s="50">
        <f t="shared" si="0"/>
        <v>7.29</v>
      </c>
    </row>
    <row r="36" spans="1:17" x14ac:dyDescent="0.25">
      <c r="A36" s="51" t="s">
        <v>275</v>
      </c>
      <c r="B36" s="51">
        <v>3</v>
      </c>
      <c r="C36" s="52" t="s">
        <v>302</v>
      </c>
      <c r="D36" s="51">
        <v>1</v>
      </c>
      <c r="E36" s="50">
        <v>21.45</v>
      </c>
      <c r="F36" s="66" t="s">
        <v>314</v>
      </c>
      <c r="G36" s="64" t="s">
        <v>180</v>
      </c>
      <c r="H36" s="66" t="s">
        <v>317</v>
      </c>
      <c r="I36" s="51"/>
      <c r="J36" s="76"/>
      <c r="K36" s="50"/>
    </row>
    <row r="37" spans="1:17" x14ac:dyDescent="0.25">
      <c r="A37" s="51"/>
      <c r="B37" s="51"/>
      <c r="C37" s="52"/>
      <c r="D37" s="51"/>
      <c r="E37" s="50"/>
      <c r="F37" s="65"/>
      <c r="G37" s="51"/>
      <c r="H37" s="51"/>
      <c r="I37" s="51"/>
      <c r="J37" s="50"/>
      <c r="K37" s="50"/>
      <c r="Q37" s="67"/>
    </row>
    <row r="38" spans="1:17" x14ac:dyDescent="0.25">
      <c r="A38" s="51" t="s">
        <v>276</v>
      </c>
      <c r="B38" s="51">
        <v>3</v>
      </c>
      <c r="C38" s="52" t="s">
        <v>289</v>
      </c>
      <c r="D38" s="51">
        <v>1</v>
      </c>
      <c r="E38" s="50"/>
      <c r="F38" s="70" t="s">
        <v>300</v>
      </c>
      <c r="G38" s="51"/>
      <c r="H38" s="51"/>
      <c r="I38" s="51"/>
      <c r="J38" s="50"/>
      <c r="K38" s="50"/>
    </row>
    <row r="39" spans="1:17" x14ac:dyDescent="0.25">
      <c r="A39" s="51" t="s">
        <v>278</v>
      </c>
      <c r="B39" s="51">
        <v>3</v>
      </c>
      <c r="C39" s="52" t="s">
        <v>288</v>
      </c>
      <c r="D39" s="51">
        <v>1</v>
      </c>
      <c r="E39" s="50"/>
      <c r="F39" s="72"/>
      <c r="G39" s="51"/>
      <c r="H39" s="51"/>
      <c r="I39" s="51"/>
      <c r="J39" s="50"/>
      <c r="K39" s="50"/>
    </row>
    <row r="40" spans="1:17" x14ac:dyDescent="0.25">
      <c r="A40" s="51" t="s">
        <v>279</v>
      </c>
      <c r="B40" s="51">
        <v>3</v>
      </c>
      <c r="C40" s="52" t="s">
        <v>286</v>
      </c>
      <c r="D40" s="51">
        <v>78</v>
      </c>
      <c r="E40" s="50"/>
      <c r="F40" s="72"/>
      <c r="G40" s="51"/>
      <c r="H40" s="51"/>
      <c r="I40" s="51"/>
      <c r="J40" s="50"/>
      <c r="K40" s="50"/>
    </row>
    <row r="41" spans="1:17" x14ac:dyDescent="0.25">
      <c r="A41" s="51" t="s">
        <v>280</v>
      </c>
      <c r="B41" s="51">
        <v>3</v>
      </c>
      <c r="C41" s="52" t="s">
        <v>287</v>
      </c>
      <c r="D41" s="51">
        <v>39</v>
      </c>
      <c r="E41" s="50"/>
      <c r="F41" s="72"/>
      <c r="G41" s="51"/>
      <c r="H41" s="51"/>
      <c r="I41" s="51"/>
      <c r="J41" s="50"/>
      <c r="K41" s="50"/>
    </row>
    <row r="42" spans="1:17" x14ac:dyDescent="0.25">
      <c r="A42" s="51" t="s">
        <v>281</v>
      </c>
      <c r="B42" s="51">
        <v>3</v>
      </c>
      <c r="C42" s="52" t="s">
        <v>322</v>
      </c>
      <c r="D42" s="51">
        <v>3</v>
      </c>
      <c r="E42" s="50"/>
      <c r="F42" s="72"/>
      <c r="G42" s="51"/>
      <c r="H42" s="51"/>
      <c r="I42" s="51"/>
      <c r="J42" s="50"/>
      <c r="K42" s="50"/>
    </row>
    <row r="43" spans="1:17" x14ac:dyDescent="0.25">
      <c r="A43" s="51" t="s">
        <v>282</v>
      </c>
      <c r="B43" s="51">
        <v>3</v>
      </c>
      <c r="C43" s="52" t="s">
        <v>291</v>
      </c>
      <c r="D43" s="51">
        <v>2</v>
      </c>
      <c r="E43" s="50"/>
      <c r="F43" s="72"/>
      <c r="G43" s="51"/>
      <c r="H43" s="51"/>
      <c r="I43" s="51"/>
      <c r="J43" s="50"/>
      <c r="K43" s="50"/>
    </row>
    <row r="44" spans="1:17" x14ac:dyDescent="0.25">
      <c r="A44" s="51" t="s">
        <v>283</v>
      </c>
      <c r="B44" s="51">
        <v>3</v>
      </c>
      <c r="C44" s="52" t="s">
        <v>292</v>
      </c>
      <c r="D44" s="51">
        <v>2</v>
      </c>
      <c r="E44" s="50"/>
      <c r="F44" s="72"/>
      <c r="G44" s="51"/>
      <c r="H44" s="51"/>
      <c r="I44" s="51"/>
      <c r="J44" s="50"/>
      <c r="K44" s="50"/>
    </row>
    <row r="45" spans="1:17" x14ac:dyDescent="0.25">
      <c r="A45" s="51" t="s">
        <v>284</v>
      </c>
      <c r="B45" s="51">
        <v>3</v>
      </c>
      <c r="C45" s="52" t="s">
        <v>294</v>
      </c>
      <c r="D45" s="51">
        <v>1</v>
      </c>
      <c r="E45" s="50"/>
      <c r="F45" s="72"/>
      <c r="G45" s="51"/>
      <c r="H45" s="51"/>
      <c r="I45" s="51"/>
      <c r="J45" s="50"/>
      <c r="K45" s="50"/>
    </row>
    <row r="46" spans="1:17" x14ac:dyDescent="0.25">
      <c r="A46" s="51" t="s">
        <v>285</v>
      </c>
      <c r="B46" s="51">
        <v>3</v>
      </c>
      <c r="C46" s="52" t="s">
        <v>295</v>
      </c>
      <c r="D46" s="51">
        <v>1</v>
      </c>
      <c r="E46" s="50"/>
      <c r="F46" s="72"/>
      <c r="G46" s="51"/>
      <c r="H46" s="51"/>
      <c r="I46" s="51"/>
      <c r="J46" s="50"/>
      <c r="K46" s="50"/>
    </row>
    <row r="47" spans="1:17" x14ac:dyDescent="0.25">
      <c r="A47" s="51" t="s">
        <v>293</v>
      </c>
      <c r="B47" s="51">
        <v>3</v>
      </c>
      <c r="C47" s="52" t="s">
        <v>296</v>
      </c>
      <c r="D47" s="51">
        <v>1</v>
      </c>
      <c r="E47" s="50"/>
      <c r="F47" s="72"/>
      <c r="G47" s="51"/>
      <c r="H47" s="51"/>
      <c r="I47" s="51"/>
      <c r="J47" s="50"/>
      <c r="K47" s="50"/>
    </row>
    <row r="48" spans="1:17" x14ac:dyDescent="0.25">
      <c r="A48" s="51" t="s">
        <v>297</v>
      </c>
      <c r="B48" s="51">
        <v>3</v>
      </c>
      <c r="C48" s="52" t="s">
        <v>298</v>
      </c>
      <c r="D48" s="51">
        <v>1</v>
      </c>
      <c r="E48" s="50"/>
      <c r="F48" s="72"/>
      <c r="G48" s="51"/>
      <c r="H48" s="51"/>
      <c r="I48" s="51"/>
      <c r="J48" s="50"/>
      <c r="K48" s="50"/>
    </row>
    <row r="49" spans="1:17" x14ac:dyDescent="0.25">
      <c r="A49" s="51" t="s">
        <v>312</v>
      </c>
      <c r="B49" s="51">
        <v>3</v>
      </c>
      <c r="C49" s="52" t="s">
        <v>299</v>
      </c>
      <c r="D49" s="51">
        <v>1</v>
      </c>
      <c r="E49" s="50"/>
      <c r="F49" s="72"/>
      <c r="G49" s="51"/>
      <c r="H49" s="51"/>
      <c r="I49" s="51"/>
      <c r="J49" s="50"/>
      <c r="K49" s="50"/>
    </row>
    <row r="50" spans="1:17" x14ac:dyDescent="0.25">
      <c r="A50" s="51" t="s">
        <v>313</v>
      </c>
      <c r="B50" s="51">
        <v>3</v>
      </c>
      <c r="C50" s="52" t="s">
        <v>299</v>
      </c>
      <c r="D50" s="51">
        <v>1</v>
      </c>
      <c r="E50" s="50"/>
      <c r="F50" s="72"/>
      <c r="G50" s="51"/>
      <c r="H50" s="51"/>
      <c r="I50" s="51"/>
      <c r="J50" s="50"/>
      <c r="K50" s="50"/>
    </row>
    <row r="51" spans="1:17" x14ac:dyDescent="0.25">
      <c r="A51" s="51" t="s">
        <v>323</v>
      </c>
      <c r="B51" s="51">
        <v>3</v>
      </c>
      <c r="C51" s="52" t="s">
        <v>301</v>
      </c>
      <c r="D51" s="51">
        <v>1</v>
      </c>
      <c r="E51" s="50"/>
      <c r="F51" s="71"/>
      <c r="G51" s="51"/>
      <c r="H51" s="51"/>
      <c r="I51" s="51"/>
      <c r="J51" s="50"/>
      <c r="K51" s="50"/>
      <c r="Q51" s="49"/>
    </row>
    <row r="54" spans="1:17" x14ac:dyDescent="0.25">
      <c r="A54" s="54" t="s">
        <v>195</v>
      </c>
      <c r="B54" s="54">
        <v>2</v>
      </c>
      <c r="C54" s="55" t="s">
        <v>265</v>
      </c>
      <c r="D54" s="54">
        <v>2</v>
      </c>
      <c r="E54" s="53"/>
      <c r="F54" s="54"/>
      <c r="G54" s="54"/>
      <c r="H54" s="54"/>
      <c r="I54" s="54"/>
      <c r="J54" s="53"/>
      <c r="K54" s="53">
        <f>SUM(K55:K56)</f>
        <v>0</v>
      </c>
    </row>
    <row r="55" spans="1:17" x14ac:dyDescent="0.25">
      <c r="A55" s="51" t="s">
        <v>194</v>
      </c>
      <c r="B55" s="51">
        <v>3</v>
      </c>
      <c r="C55" s="52" t="s">
        <v>193</v>
      </c>
      <c r="D55" s="51"/>
      <c r="E55" s="50"/>
      <c r="F55" s="51" t="s">
        <v>190</v>
      </c>
      <c r="G55" s="51"/>
      <c r="H55" s="51"/>
      <c r="I55" s="51"/>
      <c r="J55" s="50"/>
      <c r="K55" s="50"/>
    </row>
    <row r="56" spans="1:17" x14ac:dyDescent="0.25">
      <c r="A56" s="51" t="s">
        <v>192</v>
      </c>
      <c r="B56" s="51">
        <v>3</v>
      </c>
      <c r="C56" s="52" t="s">
        <v>191</v>
      </c>
      <c r="D56" s="51"/>
      <c r="E56" s="50"/>
      <c r="F56" s="51" t="s">
        <v>190</v>
      </c>
      <c r="G56" s="51"/>
      <c r="H56" s="51"/>
      <c r="I56" s="51"/>
      <c r="J56" s="50"/>
      <c r="K56" s="50"/>
    </row>
    <row r="78" spans="1:10" x14ac:dyDescent="0.25">
      <c r="A78" s="54" t="s">
        <v>237</v>
      </c>
      <c r="B78" s="54">
        <v>2</v>
      </c>
      <c r="C78" s="55" t="s">
        <v>236</v>
      </c>
      <c r="D78" s="54"/>
      <c r="E78" s="53"/>
      <c r="F78" s="54"/>
      <c r="G78" s="54"/>
      <c r="H78" s="54"/>
      <c r="I78" s="54"/>
      <c r="J78" s="53">
        <f>SUM(J79:J81)</f>
        <v>402</v>
      </c>
    </row>
    <row r="79" spans="1:10" x14ac:dyDescent="0.25">
      <c r="A79" s="51" t="s">
        <v>235</v>
      </c>
      <c r="B79" s="51">
        <v>3</v>
      </c>
      <c r="C79" s="52" t="s">
        <v>234</v>
      </c>
      <c r="D79" s="51">
        <v>3</v>
      </c>
      <c r="E79" s="50">
        <v>65</v>
      </c>
      <c r="F79" s="51" t="s">
        <v>231</v>
      </c>
      <c r="G79" s="56" t="s">
        <v>180</v>
      </c>
      <c r="H79" s="57">
        <v>46213</v>
      </c>
      <c r="I79" s="51" t="s">
        <v>187</v>
      </c>
      <c r="J79" s="50">
        <f>D79*E79</f>
        <v>195</v>
      </c>
    </row>
    <row r="80" spans="1:10" x14ac:dyDescent="0.25">
      <c r="A80" s="51" t="s">
        <v>233</v>
      </c>
      <c r="B80" s="51">
        <v>3</v>
      </c>
      <c r="C80" s="52" t="s">
        <v>232</v>
      </c>
      <c r="D80" s="51">
        <v>3</v>
      </c>
      <c r="E80" s="50">
        <v>69</v>
      </c>
      <c r="F80" s="51" t="s">
        <v>231</v>
      </c>
      <c r="G80" s="56" t="s">
        <v>180</v>
      </c>
      <c r="H80" s="51"/>
      <c r="I80" s="51"/>
      <c r="J80" s="50">
        <f>D80*E80</f>
        <v>207</v>
      </c>
    </row>
    <row r="81" spans="1:10" x14ac:dyDescent="0.25">
      <c r="A81" s="51" t="s">
        <v>230</v>
      </c>
      <c r="B81" s="51">
        <v>3</v>
      </c>
      <c r="C81" s="52" t="s">
        <v>229</v>
      </c>
      <c r="D81" s="51">
        <v>3</v>
      </c>
      <c r="E81" s="50"/>
      <c r="F81" s="51" t="s">
        <v>228</v>
      </c>
      <c r="G81" s="51"/>
      <c r="H81" s="51"/>
      <c r="I81" s="51"/>
      <c r="J81" s="50"/>
    </row>
    <row r="82" spans="1:10" x14ac:dyDescent="0.25">
      <c r="A82" s="54" t="s">
        <v>227</v>
      </c>
      <c r="B82" s="54">
        <v>2</v>
      </c>
      <c r="C82" s="55" t="s">
        <v>226</v>
      </c>
      <c r="D82" s="54"/>
      <c r="E82" s="53"/>
      <c r="F82" s="54"/>
      <c r="G82" s="54"/>
      <c r="H82" s="54"/>
      <c r="I82" s="54"/>
      <c r="J82" s="53">
        <f>SUM(J83:J86)</f>
        <v>0</v>
      </c>
    </row>
    <row r="83" spans="1:10" x14ac:dyDescent="0.25">
      <c r="A83" s="51" t="s">
        <v>225</v>
      </c>
      <c r="B83" s="51">
        <v>3</v>
      </c>
      <c r="C83" s="52" t="s">
        <v>224</v>
      </c>
      <c r="D83" s="51"/>
      <c r="E83" s="50"/>
      <c r="F83" s="51" t="s">
        <v>223</v>
      </c>
      <c r="G83" s="51"/>
      <c r="H83" s="51"/>
      <c r="I83" s="51"/>
      <c r="J83" s="50"/>
    </row>
    <row r="84" spans="1:10" x14ac:dyDescent="0.25">
      <c r="A84" s="51" t="s">
        <v>222</v>
      </c>
      <c r="B84" s="51">
        <v>3</v>
      </c>
      <c r="C84" s="52" t="s">
        <v>221</v>
      </c>
      <c r="D84" s="51"/>
      <c r="E84" s="50"/>
      <c r="F84" s="51" t="s">
        <v>220</v>
      </c>
      <c r="G84" s="51"/>
      <c r="H84" s="51"/>
      <c r="I84" s="51"/>
      <c r="J84" s="50"/>
    </row>
    <row r="85" spans="1:10" x14ac:dyDescent="0.25">
      <c r="A85" s="51" t="s">
        <v>219</v>
      </c>
      <c r="B85" s="51">
        <v>3</v>
      </c>
      <c r="C85" s="52" t="s">
        <v>218</v>
      </c>
      <c r="D85" s="51"/>
      <c r="E85" s="50"/>
      <c r="F85" s="51" t="s">
        <v>190</v>
      </c>
      <c r="G85" s="51"/>
      <c r="H85" s="51"/>
      <c r="I85" s="51"/>
      <c r="J85" s="50"/>
    </row>
    <row r="86" spans="1:10" x14ac:dyDescent="0.25">
      <c r="A86" s="51" t="s">
        <v>217</v>
      </c>
      <c r="B86" s="51">
        <v>3</v>
      </c>
      <c r="C86" s="52" t="s">
        <v>216</v>
      </c>
      <c r="D86" s="51"/>
      <c r="E86" s="50"/>
      <c r="F86" s="51" t="s">
        <v>215</v>
      </c>
      <c r="G86" s="51"/>
      <c r="H86" s="51"/>
      <c r="I86" s="51"/>
      <c r="J86" s="50"/>
    </row>
    <row r="87" spans="1:10" x14ac:dyDescent="0.25">
      <c r="A87" s="54" t="s">
        <v>214</v>
      </c>
      <c r="B87" s="54">
        <v>2</v>
      </c>
      <c r="C87" s="55" t="s">
        <v>213</v>
      </c>
      <c r="D87" s="54"/>
      <c r="E87" s="53"/>
      <c r="F87" s="54"/>
      <c r="G87" s="54"/>
      <c r="H87" s="54"/>
      <c r="I87" s="54"/>
      <c r="J87" s="53">
        <f>SUM(J88:J89)</f>
        <v>0</v>
      </c>
    </row>
    <row r="88" spans="1:10" x14ac:dyDescent="0.25">
      <c r="A88" s="51" t="s">
        <v>212</v>
      </c>
      <c r="B88" s="51">
        <v>3</v>
      </c>
      <c r="C88" s="52" t="s">
        <v>211</v>
      </c>
      <c r="D88" s="51"/>
      <c r="E88" s="50"/>
      <c r="F88" s="51" t="s">
        <v>210</v>
      </c>
      <c r="G88" s="51"/>
      <c r="H88" s="51"/>
      <c r="I88" s="51"/>
      <c r="J88" s="50"/>
    </row>
    <row r="89" spans="1:10" x14ac:dyDescent="0.25">
      <c r="A89" s="51" t="s">
        <v>209</v>
      </c>
      <c r="B89" s="51">
        <v>3</v>
      </c>
      <c r="C89" s="52" t="s">
        <v>208</v>
      </c>
      <c r="D89" s="51"/>
      <c r="E89" s="50"/>
      <c r="F89" s="51" t="s">
        <v>190</v>
      </c>
      <c r="G89" s="51"/>
      <c r="H89" s="51"/>
      <c r="I89" s="51"/>
      <c r="J89" s="50"/>
    </row>
    <row r="90" spans="1:10" x14ac:dyDescent="0.25">
      <c r="A90" s="54" t="s">
        <v>207</v>
      </c>
      <c r="B90" s="54">
        <v>2</v>
      </c>
      <c r="C90" s="55" t="s">
        <v>206</v>
      </c>
      <c r="D90" s="54"/>
      <c r="E90" s="53"/>
      <c r="F90" s="54"/>
      <c r="G90" s="54"/>
      <c r="H90" s="54"/>
      <c r="I90" s="54"/>
      <c r="J90" s="53">
        <f>SUM(J91:J94)</f>
        <v>0</v>
      </c>
    </row>
    <row r="91" spans="1:10" x14ac:dyDescent="0.25">
      <c r="A91" s="51" t="s">
        <v>205</v>
      </c>
      <c r="B91" s="51">
        <v>3</v>
      </c>
      <c r="C91" s="52" t="s">
        <v>204</v>
      </c>
      <c r="D91" s="51"/>
      <c r="E91" s="50"/>
      <c r="F91" s="51" t="s">
        <v>190</v>
      </c>
      <c r="G91" s="51"/>
      <c r="H91" s="51"/>
      <c r="I91" s="51"/>
      <c r="J91" s="50"/>
    </row>
    <row r="92" spans="1:10" x14ac:dyDescent="0.25">
      <c r="A92" s="51" t="s">
        <v>203</v>
      </c>
      <c r="B92" s="51">
        <v>3</v>
      </c>
      <c r="C92" s="52" t="s">
        <v>202</v>
      </c>
      <c r="D92" s="51">
        <v>1</v>
      </c>
      <c r="E92" s="50"/>
      <c r="F92" s="51" t="s">
        <v>201</v>
      </c>
      <c r="G92" s="51"/>
      <c r="H92" s="51"/>
      <c r="I92" s="51"/>
      <c r="J92" s="50"/>
    </row>
    <row r="93" spans="1:10" x14ac:dyDescent="0.25">
      <c r="A93" s="51" t="s">
        <v>200</v>
      </c>
      <c r="B93" s="51">
        <v>3</v>
      </c>
      <c r="C93" s="52" t="s">
        <v>199</v>
      </c>
      <c r="D93" s="51"/>
      <c r="E93" s="50"/>
      <c r="F93" s="51" t="s">
        <v>198</v>
      </c>
      <c r="G93" s="51"/>
      <c r="H93" s="51"/>
      <c r="I93" s="51"/>
      <c r="J93" s="50"/>
    </row>
    <row r="94" spans="1:10" x14ac:dyDescent="0.25">
      <c r="A94" s="51" t="s">
        <v>197</v>
      </c>
      <c r="B94" s="51">
        <v>3</v>
      </c>
      <c r="C94" s="52" t="s">
        <v>196</v>
      </c>
      <c r="D94" s="51"/>
      <c r="E94" s="50"/>
      <c r="F94" s="51" t="s">
        <v>190</v>
      </c>
      <c r="G94" s="51"/>
      <c r="H94" s="51"/>
      <c r="I94" s="51"/>
      <c r="J94" s="50"/>
    </row>
    <row r="95" spans="1:10" x14ac:dyDescent="0.25">
      <c r="A95" s="54" t="s">
        <v>195</v>
      </c>
      <c r="B95" s="54">
        <v>2</v>
      </c>
      <c r="C95" s="55" t="s">
        <v>265</v>
      </c>
      <c r="D95" s="54">
        <v>2</v>
      </c>
      <c r="E95" s="53"/>
      <c r="F95" s="54"/>
      <c r="G95" s="54"/>
      <c r="H95" s="54"/>
      <c r="I95" s="54"/>
      <c r="J95" s="53">
        <f>SUM(J96:J97)</f>
        <v>0</v>
      </c>
    </row>
    <row r="96" spans="1:10" x14ac:dyDescent="0.25">
      <c r="A96" s="51" t="s">
        <v>194</v>
      </c>
      <c r="B96" s="51">
        <v>3</v>
      </c>
      <c r="C96" s="52" t="s">
        <v>193</v>
      </c>
      <c r="D96" s="51"/>
      <c r="E96" s="50"/>
      <c r="F96" s="51" t="s">
        <v>190</v>
      </c>
      <c r="G96" s="51"/>
      <c r="H96" s="51"/>
      <c r="I96" s="51"/>
      <c r="J96" s="50"/>
    </row>
    <row r="97" spans="1:10" x14ac:dyDescent="0.25">
      <c r="A97" s="51" t="s">
        <v>192</v>
      </c>
      <c r="B97" s="51">
        <v>3</v>
      </c>
      <c r="C97" s="52" t="s">
        <v>191</v>
      </c>
      <c r="D97" s="51"/>
      <c r="E97" s="50"/>
      <c r="F97" s="51" t="s">
        <v>190</v>
      </c>
      <c r="G97" s="51"/>
      <c r="H97" s="51"/>
      <c r="I97" s="51"/>
      <c r="J97" s="50"/>
    </row>
    <row r="99" spans="1:10" x14ac:dyDescent="0.25">
      <c r="F99" s="48" t="s">
        <v>189</v>
      </c>
      <c r="G99" s="47"/>
      <c r="H99" s="47"/>
      <c r="I99" s="47"/>
      <c r="J99" s="46">
        <f>K15+K21+J78+J82+J87+J90+J95</f>
        <v>1179.48</v>
      </c>
    </row>
  </sheetData>
  <mergeCells count="7">
    <mergeCell ref="J22:J36"/>
    <mergeCell ref="K32:K33"/>
    <mergeCell ref="I32:I33"/>
    <mergeCell ref="G32:G33"/>
    <mergeCell ref="E32:E33"/>
    <mergeCell ref="H32:H33"/>
    <mergeCell ref="F38:F51"/>
  </mergeCells>
  <phoneticPr fontId="14" type="noConversion"/>
  <hyperlinks>
    <hyperlink ref="G2" r:id="rId1" xr:uid="{F38C562C-0EF3-442B-96D4-1589B8CCB4DE}"/>
    <hyperlink ref="G3" r:id="rId2" xr:uid="{CC084A84-89C0-427D-8ED6-632FF174051C}"/>
    <hyperlink ref="G5" r:id="rId3" xr:uid="{E33B65D7-C9FE-467E-983C-E08A1BC8FA65}"/>
    <hyperlink ref="G8" r:id="rId4" xr:uid="{60429B27-A38D-454F-B173-6703031A5589}"/>
    <hyperlink ref="G6" r:id="rId5" xr:uid="{0A9A04AE-D73D-4785-8B94-5732DA2EFFEB}"/>
    <hyperlink ref="G4" r:id="rId6" xr:uid="{8965FEC0-8122-4167-90F4-C3780CE3A5C5}"/>
    <hyperlink ref="G80" r:id="rId7" xr:uid="{8A31F0DB-620C-4B1D-BD14-CB8720C07EC8}"/>
    <hyperlink ref="G79" r:id="rId8" xr:uid="{9E52DD90-A4C0-4AFB-B727-068C5A377BE2}"/>
    <hyperlink ref="G19" r:id="rId9" xr:uid="{8091DB70-558E-4592-B9B4-38004DC7FBB7}"/>
    <hyperlink ref="G18" r:id="rId10" xr:uid="{F7F75BD6-DB10-4AC2-8841-880D0CC3617B}"/>
    <hyperlink ref="G17" r:id="rId11" xr:uid="{279313D3-1F5C-43AF-9B3D-757C7867AE3E}"/>
    <hyperlink ref="G16" r:id="rId12" xr:uid="{B4D6F187-CB3D-4341-91C2-50FA0284B7B9}"/>
    <hyperlink ref="G22" r:id="rId13" xr:uid="{C64245B6-E24B-46B9-854D-A533B6A984F0}"/>
    <hyperlink ref="G24" r:id="rId14" xr:uid="{72E845C8-3CF7-483D-A4A6-1A20CBED3C93}"/>
    <hyperlink ref="G25" r:id="rId15" xr:uid="{CB15E97A-CE83-44D6-82C3-DF5BB60E4804}"/>
    <hyperlink ref="G26" r:id="rId16" xr:uid="{F4F3F6BE-7691-42BB-8AD9-FC215EC5A9EB}"/>
    <hyperlink ref="G28" r:id="rId17" xr:uid="{490592CB-759D-43DE-B1A2-208282D5996C}"/>
    <hyperlink ref="G29" r:id="rId18" xr:uid="{5DF8CFDD-7940-473E-A87F-DADA18BF04F0}"/>
    <hyperlink ref="G31" r:id="rId19" xr:uid="{1412C55E-6A1A-4053-A18E-D6A0EE5D9AF0}"/>
    <hyperlink ref="G36" r:id="rId20" xr:uid="{DEBF1BA2-46DF-49AD-9E35-D39C010E82A9}"/>
    <hyperlink ref="G32:G33" r:id="rId21" display="Here" xr:uid="{1C078BBA-02DB-42FD-A3D4-817F8269DFFD}"/>
    <hyperlink ref="G35" r:id="rId22" xr:uid="{71953ECA-F332-45BA-A578-4C4B7FEF58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2026-07-29T19:24:34Z</dcterms:modified>
  <dc:language>en-US</dc:language>
</cp:coreProperties>
</file>