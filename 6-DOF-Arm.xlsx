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5291A94D-636D-4B0F-8115-4E7C3D7B2448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1" i="3" l="1"/>
  <c r="K54" i="3"/>
  <c r="K55" i="3"/>
  <c r="K49" i="3"/>
  <c r="K52" i="3"/>
  <c r="K51" i="3"/>
  <c r="K48" i="3"/>
  <c r="K46" i="3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F59" i="1" s="1"/>
  <c r="G59" i="1" s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F54" i="1" s="1"/>
  <c r="G54" i="1" s="1"/>
  <c r="D54" i="1"/>
  <c r="C54" i="1"/>
  <c r="F49" i="1"/>
  <c r="F48" i="1"/>
  <c r="E44" i="1"/>
  <c r="D44" i="1"/>
  <c r="B44" i="1"/>
  <c r="F44" i="1" s="1"/>
  <c r="E43" i="1"/>
  <c r="D43" i="1"/>
  <c r="B43" i="1"/>
  <c r="G43" i="1" s="1"/>
  <c r="E42" i="1"/>
  <c r="D42" i="1"/>
  <c r="B42" i="1"/>
  <c r="G42" i="1" s="1"/>
  <c r="E41" i="1"/>
  <c r="D41" i="1"/>
  <c r="B41" i="1"/>
  <c r="G41" i="1" s="1"/>
  <c r="E40" i="1"/>
  <c r="D40" i="1"/>
  <c r="B40" i="1"/>
  <c r="F40" i="1" s="1"/>
  <c r="F39" i="1"/>
  <c r="D39" i="1"/>
  <c r="B39" i="1"/>
  <c r="D38" i="1"/>
  <c r="B38" i="1"/>
  <c r="F38" i="1" s="1"/>
  <c r="B9" i="1"/>
  <c r="K11" i="3" l="1"/>
  <c r="K3" i="3"/>
  <c r="F50" i="1"/>
  <c r="G44" i="1"/>
  <c r="B57" i="1"/>
  <c r="C57" i="1" s="1"/>
  <c r="B58" i="1"/>
  <c r="C58" i="1" s="1"/>
  <c r="F58" i="1" s="1"/>
  <c r="G58" i="1" s="1"/>
  <c r="F57" i="1"/>
  <c r="G57" i="1" s="1"/>
  <c r="G40" i="1"/>
  <c r="G45" i="1" s="1"/>
  <c r="B56" i="1" s="1"/>
  <c r="C56" i="1" s="1"/>
  <c r="F56" i="1" s="1"/>
  <c r="G56" i="1" s="1"/>
  <c r="F42" i="1"/>
  <c r="F41" i="1"/>
  <c r="F45" i="1" s="1"/>
  <c r="B55" i="1" s="1"/>
  <c r="C55" i="1" s="1"/>
  <c r="F55" i="1" s="1"/>
  <c r="G55" i="1" s="1"/>
  <c r="F43" i="1"/>
  <c r="K2" i="3" l="1"/>
</calcChain>
</file>

<file path=xl/sharedStrings.xml><?xml version="1.0" encoding="utf-8"?>
<sst xmlns="http://schemas.openxmlformats.org/spreadsheetml/2006/main" count="401" uniqueCount="321">
  <si>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</si>
  <si>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</si>
  <si>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</si>
  <si>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</si>
  <si>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</si>
  <si>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</si>
  <si>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</si>
  <si>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</si>
  <si>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</si>
  <si>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</si>
  <si>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</si>
  <si>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</si>
  <si>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</si>
  <si>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</si>
  <si>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</si>
  <si>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</si>
  <si>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</si>
  <si>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</si>
  <si>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</si>
  <si>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</si>
  <si>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</si>
  <si>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</si>
  <si>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</si>
  <si>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</si>
  <si>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</si>
  <si>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</si>
  <si>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</si>
  <si>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</si>
  <si>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</si>
  <si>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</si>
  <si>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</si>
  <si>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</si>
  <si>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</si>
  <si>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</si>
  <si>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</si>
  <si>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</si>
  <si>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</si>
  <si>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</si>
  <si>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</si>
  <si>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</si>
  <si>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</si>
  <si>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</si>
  <si>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</si>
  <si>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</si>
  <si>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</si>
  <si>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</si>
  <si>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</si>
  <si>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</si>
  <si>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</si>
  <si>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</si>
  <si>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</si>
  <si>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</si>
  <si>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</si>
  <si>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</si>
  <si>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</si>
  <si>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</si>
  <si>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</si>
  <si>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</si>
  <si>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</si>
  <si>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</si>
  <si>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</si>
  <si>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</si>
  <si>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</si>
  <si>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</si>
  <si>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</si>
  <si>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</si>
  <si>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</si>
  <si>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</si>
  <si>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</si>
  <si>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</si>
  <si>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</si>
  <si>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</si>
  <si>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</si>
  <si>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</si>
  <si>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</si>
  <si>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</si>
  <si>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</si>
  <si>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</si>
  <si>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</si>
  <si>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</si>
  <si>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</si>
  <si>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</si>
  <si>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</si>
  <si>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</si>
  <si>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</si>
  <si>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</si>
  <si>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</si>
  <si>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</si>
  <si>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</si>
  <si>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</si>
  <si>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</si>
  <si>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</si>
  <si>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</si>
  <si>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</si>
  <si>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</si>
  <si>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</si>
  <si>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</si>
  <si>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</si>
  <si>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</si>
  <si>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</si>
  <si>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</si>
  <si>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</si>
  <si>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</si>
  <si>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</si>
  <si>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</si>
  <si>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</si>
  <si>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</si>
  <si>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</si>
  <si>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</si>
  <si>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</si>
  <si>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</si>
  <si>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</si>
  <si>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</si>
  <si>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</si>
  <si>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</si>
  <si>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</si>
  <si>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</si>
  <si>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</si>
  <si>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</si>
  <si>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</si>
  <si>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</si>
  <si>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</si>
  <si>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</si>
  <si>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</si>
  <si>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</si>
  <si>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</si>
  <si>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</si>
  <si>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</si>
  <si>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</si>
  <si>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</si>
  <si>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</si>
  <si>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</si>
  <si>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</si>
  <si>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</si>
  <si>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</si>
  <si>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</si>
  <si>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</si>
  <si>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</si>
  <si>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</si>
  <si>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</si>
  <si>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</si>
  <si>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</si>
  <si>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</si>
  <si>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</si>
  <si>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</si>
  <si>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</si>
  <si>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</si>
  <si>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</si>
  <si>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</si>
  <si>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</si>
  <si>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</si>
  <si>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</si>
  <si>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</si>
  <si>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</si>
  <si>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</si>
  <si>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</si>
  <si>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</si>
  <si>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</si>
  <si>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</si>
  <si>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</si>
  <si>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</si>
  <si>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</si>
  <si>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</si>
  <si>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</si>
  <si>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</si>
  <si>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</si>
  <si>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</si>
  <si>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</si>
  <si>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</si>
  <si>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</si>
  <si>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</si>
  <si>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</si>
  <si>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</si>
  <si>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</si>
  <si>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</si>
  <si>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</si>
  <si>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</si>
  <si>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</si>
  <si>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</si>
  <si>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</si>
  <si>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</si>
  <si>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</si>
  <si>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</si>
  <si>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</si>
  <si>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</si>
  <si>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</si>
  <si>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</si>
  <si>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</si>
  <si>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</si>
  <si>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</si>
  <si>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</si>
  <si>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</si>
  <si>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</si>
  <si>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</si>
  <si>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</si>
  <si>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</si>
  <si>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</si>
  <si>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</si>
  <si>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</si>
  <si>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</si>
  <si>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</si>
  <si>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</si>
  <si>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</si>
  <si>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</si>
  <si>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</si>
  <si>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</si>
  <si>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</si>
  <si>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</si>
  <si>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</si>
  <si>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</si>
  <si>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</si>
  <si>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</si>
  <si>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</si>
  <si>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</si>
  <si>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</si>
  <si>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</si>
  <si>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</si>
  <si>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</si>
  <si>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</si>
  <si>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</si>
  <si>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</si>
  <si>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</si>
  <si>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</si>
  <si>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</si>
  <si>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</si>
  <si>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</si>
  <si>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</si>
  <si>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</si>
  <si>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</si>
  <si>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</si>
  <si>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</si>
  <si>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</si>
  <si>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</si>
  <si>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</si>
  <si>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</si>
  <si>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</si>
  <si>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</si>
  <si>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</si>
  <si>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</si>
  <si>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</si>
  <si>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</si>
  <si>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</si>
  <si>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</si>
  <si>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</si>
  <si>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</si>
  <si>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</si>
  <si>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</si>
  <si>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</si>
  <si>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</si>
  <si>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</si>
  <si>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</si>
  <si>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</si>
  <si>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</si>
  <si>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</si>
  <si>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</si>
  <si>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</si>
  <si>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</si>
  <si>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</si>
  <si>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</si>
  <si>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</si>
  <si>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</si>
  <si>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NEED TO PURCHASE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</si>
  <si>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</si>
  <si>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</si>
  <si>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</si>
  <si>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</si>
  <si>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</si>
  <si>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</si>
  <si>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</si>
  <si>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</si>
  <si>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</si>
  <si>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</si>
  <si>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</si>
  <si>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</si>
  <si>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</si>
  <si>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</si>
  <si>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</si>
  <si>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</si>
  <si>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</si>
  <si>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</si>
  <si>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</si>
  <si>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</si>
  <si>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</si>
  <si>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</si>
  <si>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</si>
  <si>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</si>
  <si>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</si>
  <si>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</si>
  <si>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</si>
  <si>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</si>
  <si>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 xml:space="preserve"> ID 10mm x OD 15mm x 4mm (8 pcs)
Purchase 2 packs for two 15:1 gearboxes</t>
  </si>
  <si>
    <t>ID 5mm x  OD 10mm x 4mm (30 pcs)
Purchase 3 packs for two 15:1 gearboxes</t>
  </si>
  <si>
    <t>3D Printed Parts
Need to 2x prints for two 15:1 gearboxes</t>
  </si>
  <si>
    <t>SHIPPING COST WHEN ORDERED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</si>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</sst>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166" fontId="10" fillId="5" borderId="3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3" fillId="2" borderId="0" xfId="0" applyFont="1" applyFill="1"/>
    <xf numFmtId="44" fontId="10" fillId="5" borderId="2" xfId="1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66" fontId="10" fillId="9" borderId="4" xfId="0" applyNumberFormat="1" applyFont="1" applyFill="1" applyBorder="1" applyAlignment="1">
      <alignment horizontal="center" vertical="center"/>
    </xf>
    <xf numFmtId="14" fontId="10" fillId="9" borderId="2" xfId="0" applyNumberFormat="1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Hexagonal-Wearproof-Intelligent-Robots-Equipment/dp/B09NHQFZZG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Hanglife-HANGLIFE-Heat-Set-Threaded-Inserts/dp/B0CS6YVJYD?th=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FFVRVSS-Threaded-Assortment-Printing-Components/dp/B0H1V72B3B?th=1" TargetMode="External"/><Relationship Id="rId20" Type="http://schemas.openxmlformats.org/officeDocument/2006/relationships/hyperlink" Target="https://www.amazon.com/gp/product/B0GW45XBP2/ref=ox_sc_act_title_1?smid=A2C1Q80HIP80AY&amp;th=1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23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N40" sqref="N40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0" t="s">
        <v>2</v>
      </c>
      <c r="B4" s="60"/>
      <c r="C4" s="60"/>
      <c r="D4" s="60"/>
      <c r="E4" s="60"/>
      <c r="F4" s="60"/>
      <c r="G4" s="60"/>
      <c r="H4" s="60"/>
      <c r="I4" s="60"/>
    </row>
    <row r="5" spans="1:9" x14ac:dyDescent="0.25">
      <c r="A5" s="3" t="s">
        <v>3</v>
      </c>
      <c r="B5" s="4">
        <v>0.16</v>
      </c>
      <c r="C5" s="3" t="s">
        <v>4</v>
      </c>
    </row>
    <row r="6" spans="1:9" x14ac:dyDescent="0.25">
      <c r="A6" s="3" t="s">
        <v>5</v>
      </c>
      <c r="B6" s="4">
        <v>0.16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0" t="s">
        <v>12</v>
      </c>
      <c r="B11" s="60"/>
      <c r="C11" s="60"/>
      <c r="D11" s="60"/>
      <c r="E11" s="60"/>
      <c r="F11" s="60"/>
      <c r="G11" s="60"/>
      <c r="H11" s="60"/>
      <c r="I11" s="60"/>
    </row>
    <row r="12" spans="1:9" x14ac:dyDescent="0.25">
      <c r="A12" s="3" t="s">
        <v>13</v>
      </c>
      <c r="B12" s="4">
        <v>0.35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0" t="s">
        <v>27</v>
      </c>
      <c r="B20" s="60"/>
      <c r="C20" s="60"/>
      <c r="D20" s="60"/>
      <c r="E20" s="60"/>
      <c r="F20" s="60"/>
      <c r="G20" s="60"/>
      <c r="H20" s="60"/>
      <c r="I20" s="60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0" t="s">
        <v>32</v>
      </c>
      <c r="B24" s="60"/>
      <c r="C24" s="60"/>
      <c r="D24" s="60"/>
      <c r="E24" s="60"/>
      <c r="F24" s="60"/>
      <c r="G24" s="60"/>
      <c r="H24" s="60"/>
      <c r="I24" s="60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9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5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0" t="s">
        <v>56</v>
      </c>
      <c r="B36" s="60"/>
      <c r="C36" s="60"/>
      <c r="D36" s="60"/>
      <c r="E36" s="60"/>
      <c r="F36" s="60"/>
      <c r="G36" s="60"/>
      <c r="H36" s="60"/>
      <c r="I36" s="60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0.08</v>
      </c>
      <c r="E38" s="15" t="s">
        <v>64</v>
      </c>
      <c r="F38" s="16">
        <f t="shared" ref="F38:F44" si="0">B38*$B$21*D38</f>
        <v>4.7088000000000005E-2</v>
      </c>
      <c r="G38" s="16">
        <v>0</v>
      </c>
    </row>
    <row r="39" spans="1:9" x14ac:dyDescent="0.25">
      <c r="A39" s="13" t="s">
        <v>65</v>
      </c>
      <c r="B39" s="14">
        <f>B12</f>
        <v>0.35</v>
      </c>
      <c r="D39" s="14">
        <f>B5</f>
        <v>0.16</v>
      </c>
      <c r="E39" s="15" t="s">
        <v>64</v>
      </c>
      <c r="F39" s="16">
        <f t="shared" si="0"/>
        <v>0.54935999999999996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0.19</v>
      </c>
      <c r="E40" s="14">
        <f>B8</f>
        <v>0.03</v>
      </c>
      <c r="F40" s="16">
        <f t="shared" si="0"/>
        <v>0.22366800000000001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0.24</v>
      </c>
      <c r="E41" s="14">
        <f>B6/2</f>
        <v>0.08</v>
      </c>
      <c r="F41" s="16">
        <f t="shared" si="0"/>
        <v>0.141264</v>
      </c>
      <c r="G41" s="16">
        <f>B41*$B$21*E41</f>
        <v>4.7088000000000005E-2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0.16</v>
      </c>
      <c r="F42" s="16">
        <f t="shared" si="0"/>
        <v>0.69062400000000013</v>
      </c>
      <c r="G42" s="16">
        <f>B42*$B$21*E42</f>
        <v>0.34531200000000006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0.2</v>
      </c>
      <c r="F43" s="16">
        <f t="shared" si="0"/>
        <v>0.52973999999999999</v>
      </c>
      <c r="G43" s="16">
        <f>B43*$B$21*E43</f>
        <v>0.29430000000000001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0.24</v>
      </c>
      <c r="F44" s="16">
        <f t="shared" si="0"/>
        <v>0.78480000000000016</v>
      </c>
      <c r="G44" s="16">
        <f>B44*$B$21*E44</f>
        <v>0.47088000000000002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2.9665440000000003</v>
      </c>
      <c r="G45" s="19">
        <f>SUM(G38:G44)</f>
        <v>1.1928960000000002</v>
      </c>
    </row>
    <row r="47" spans="1:9" x14ac:dyDescent="0.25">
      <c r="A47" s="60" t="s">
        <v>72</v>
      </c>
      <c r="B47" s="60"/>
      <c r="C47" s="60"/>
      <c r="D47" s="60"/>
      <c r="E47" s="60"/>
      <c r="F47" s="60"/>
      <c r="G47" s="60"/>
      <c r="H47" s="60"/>
      <c r="I47" s="60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0" t="s">
        <v>77</v>
      </c>
      <c r="B52" s="60"/>
      <c r="C52" s="60"/>
      <c r="D52" s="60"/>
      <c r="E52" s="60"/>
      <c r="F52" s="60"/>
      <c r="G52" s="60"/>
      <c r="H52" s="60"/>
      <c r="I52" s="60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2.6999999999999997</v>
      </c>
      <c r="F54" s="16">
        <f t="shared" ref="F54:F59" si="2">E54/C54</f>
        <v>3.5999999999999996</v>
      </c>
      <c r="G54" s="25" t="str">
        <f t="shared" ref="G54:G59" si="3">IF(F54&gt;=1,"PASS",IF(F54&gt;=0.85,"MARGINAL","UNDERSIZED"))</f>
        <v>PASS</v>
      </c>
      <c r="H54" s="26">
        <f>B26*B29*B28</f>
        <v>15.299999999999999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2.9665440000000003</v>
      </c>
      <c r="C55" s="16">
        <f t="shared" si="1"/>
        <v>4.4498160000000002</v>
      </c>
      <c r="D55" s="24">
        <f>B30</f>
        <v>30</v>
      </c>
      <c r="E55" s="16">
        <f>B25*B30*B28</f>
        <v>5.3999999999999995</v>
      </c>
      <c r="F55" s="16">
        <f t="shared" si="2"/>
        <v>1.2135333236250665</v>
      </c>
      <c r="G55" s="25" t="str">
        <f t="shared" si="3"/>
        <v>PASS</v>
      </c>
      <c r="H55" s="26">
        <f>B26*B30*B28</f>
        <v>30.599999999999998</v>
      </c>
      <c r="I55" s="24">
        <f>B27/B30*6</f>
        <v>48</v>
      </c>
    </row>
    <row r="56" spans="1:9" x14ac:dyDescent="0.25">
      <c r="A56" s="13" t="s">
        <v>89</v>
      </c>
      <c r="B56" s="16">
        <f>G45</f>
        <v>1.1928960000000002</v>
      </c>
      <c r="C56" s="16">
        <f t="shared" si="1"/>
        <v>1.7893440000000003</v>
      </c>
      <c r="D56" s="24">
        <f>B31</f>
        <v>15</v>
      </c>
      <c r="E56" s="16">
        <f>B25*B31*B28</f>
        <v>2.6999999999999997</v>
      </c>
      <c r="F56" s="16">
        <f t="shared" si="2"/>
        <v>1.5089328826653787</v>
      </c>
      <c r="G56" s="25" t="str">
        <f t="shared" si="3"/>
        <v>PASS</v>
      </c>
      <c r="H56" s="26">
        <f>B26*B31*B28</f>
        <v>15.299999999999999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5</v>
      </c>
      <c r="E57" s="16">
        <f>B32*B33*B34</f>
        <v>0.85</v>
      </c>
      <c r="F57" s="16">
        <f t="shared" si="2"/>
        <v>2.6256448274796895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5</v>
      </c>
      <c r="E58" s="16">
        <f>B32*B33*B34</f>
        <v>0.85</v>
      </c>
      <c r="F58" s="16">
        <f t="shared" si="2"/>
        <v>2.6256448274796895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5</v>
      </c>
      <c r="E59" s="16">
        <f>B32*B33*B34</f>
        <v>0.85</v>
      </c>
      <c r="F59" s="16">
        <f t="shared" si="2"/>
        <v>3.7777777777777781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J7" sqref="J7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0"/>
  <sheetViews>
    <sheetView tabSelected="1" zoomScale="115" zoomScaleNormal="115" workbookViewId="0">
      <selection activeCell="S23" sqref="S23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1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1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63" t="s">
        <v>286</v>
      </c>
      <c r="G2" s="42"/>
      <c r="H2" s="42"/>
      <c r="I2" s="42"/>
      <c r="J2" s="41"/>
      <c r="K2" s="41">
        <f>K3+K11+K41</f>
        <v>1336.03</v>
      </c>
    </row>
    <row r="3" spans="1:11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1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86" t="s">
        <v>319</v>
      </c>
      <c r="J4" s="32">
        <v>2.4424999999999999</v>
      </c>
      <c r="K4" s="32">
        <f>D4*E4</f>
        <v>148</v>
      </c>
    </row>
    <row r="5" spans="1:11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86" t="s">
        <v>319</v>
      </c>
      <c r="J5" s="32">
        <v>2.4424999999999999</v>
      </c>
      <c r="K5" s="32">
        <f>D5*E5</f>
        <v>188</v>
      </c>
    </row>
    <row r="6" spans="1:11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86" t="s">
        <v>318</v>
      </c>
      <c r="J6" s="32">
        <v>2.4424999999999999</v>
      </c>
      <c r="K6" s="32">
        <f>D6*E6</f>
        <v>219</v>
      </c>
    </row>
    <row r="7" spans="1:11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87" t="s">
        <v>317</v>
      </c>
      <c r="I7" s="88" t="s">
        <v>320</v>
      </c>
      <c r="J7" s="32">
        <v>11.07</v>
      </c>
      <c r="K7" s="32">
        <f>D7*E7</f>
        <v>87</v>
      </c>
    </row>
    <row r="8" spans="1:11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1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180</v>
      </c>
      <c r="G9" s="38" t="s">
        <v>176</v>
      </c>
      <c r="H9" s="39">
        <v>46213</v>
      </c>
      <c r="I9" s="86" t="s">
        <v>316</v>
      </c>
      <c r="J9" s="61">
        <v>30</v>
      </c>
      <c r="K9" s="32">
        <f>D9*E9</f>
        <v>195</v>
      </c>
    </row>
    <row r="10" spans="1:11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86" t="s">
        <v>316</v>
      </c>
      <c r="J10" s="32">
        <v>2.4424999999999999</v>
      </c>
      <c r="K10" s="32">
        <f>D10*E10</f>
        <v>207</v>
      </c>
    </row>
    <row r="11" spans="1:11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1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51">
        <v>7.68</v>
      </c>
      <c r="K12" s="32">
        <f>I12*E12</f>
        <v>7.21</v>
      </c>
    </row>
    <row r="13" spans="1:11" x14ac:dyDescent="0.25">
      <c r="A13" s="78"/>
      <c r="B13" s="78"/>
      <c r="C13" s="79"/>
      <c r="D13" s="78"/>
      <c r="E13" s="80"/>
      <c r="F13" s="78"/>
      <c r="G13" s="78"/>
      <c r="H13" s="83"/>
      <c r="I13" s="78"/>
      <c r="J13" s="82"/>
      <c r="K13" s="80"/>
    </row>
    <row r="14" spans="1:11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52"/>
      <c r="K14" s="32">
        <f>I14*E14</f>
        <v>38.97</v>
      </c>
    </row>
    <row r="15" spans="1:11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52"/>
      <c r="K15" s="32">
        <f t="shared" ref="K15:K25" si="0">I15*E15</f>
        <v>9.99</v>
      </c>
    </row>
    <row r="16" spans="1:11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52"/>
      <c r="K16" s="32">
        <f t="shared" si="0"/>
        <v>9.7899999999999991</v>
      </c>
    </row>
    <row r="17" spans="1:11" x14ac:dyDescent="0.25">
      <c r="A17" s="78"/>
      <c r="B17" s="78"/>
      <c r="C17" s="79"/>
      <c r="D17" s="78"/>
      <c r="E17" s="80"/>
      <c r="F17" s="78"/>
      <c r="G17" s="78"/>
      <c r="H17" s="78"/>
      <c r="I17" s="78"/>
      <c r="J17" s="82"/>
      <c r="K17" s="80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52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52"/>
      <c r="K19" s="32">
        <f t="shared" si="0"/>
        <v>8.99</v>
      </c>
    </row>
    <row r="20" spans="1:11" x14ac:dyDescent="0.25">
      <c r="A20" s="78"/>
      <c r="B20" s="78"/>
      <c r="C20" s="79"/>
      <c r="D20" s="78"/>
      <c r="E20" s="80"/>
      <c r="F20" s="78"/>
      <c r="G20" s="78"/>
      <c r="H20" s="78"/>
      <c r="I20" s="78"/>
      <c r="J20" s="82"/>
      <c r="K20" s="80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52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51">
        <v>22.99</v>
      </c>
      <c r="F22" s="47" t="s">
        <v>247</v>
      </c>
      <c r="G22" s="56" t="s">
        <v>176</v>
      </c>
      <c r="H22" s="58">
        <v>46230</v>
      </c>
      <c r="I22" s="54">
        <v>1</v>
      </c>
      <c r="J22" s="52"/>
      <c r="K22" s="51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53"/>
      <c r="F23" s="47" t="s">
        <v>255</v>
      </c>
      <c r="G23" s="57"/>
      <c r="H23" s="59"/>
      <c r="I23" s="55"/>
      <c r="J23" s="52"/>
      <c r="K23" s="53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52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52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53"/>
      <c r="K26" s="32"/>
    </row>
    <row r="27" spans="1:11" x14ac:dyDescent="0.25">
      <c r="A27" s="78"/>
      <c r="B27" s="78"/>
      <c r="C27" s="79"/>
      <c r="D27" s="78"/>
      <c r="E27" s="80"/>
      <c r="F27" s="81"/>
      <c r="G27" s="78"/>
      <c r="H27" s="78"/>
      <c r="I27" s="78"/>
      <c r="J27" s="80"/>
      <c r="K27" s="80"/>
    </row>
    <row r="28" spans="1:11" x14ac:dyDescent="0.25">
      <c r="A28" s="33" t="s">
        <v>220</v>
      </c>
      <c r="B28" s="33">
        <v>3</v>
      </c>
      <c r="C28" s="50" t="s">
        <v>262</v>
      </c>
      <c r="D28" s="33">
        <v>1</v>
      </c>
      <c r="E28" s="32"/>
      <c r="F28" s="64" t="s">
        <v>233</v>
      </c>
      <c r="G28" s="65"/>
      <c r="H28" s="65"/>
      <c r="I28" s="65"/>
      <c r="J28" s="65"/>
      <c r="K28" s="66"/>
    </row>
    <row r="29" spans="1:11" x14ac:dyDescent="0.25">
      <c r="A29" s="33" t="s">
        <v>222</v>
      </c>
      <c r="B29" s="33">
        <v>3</v>
      </c>
      <c r="C29" s="50" t="s">
        <v>263</v>
      </c>
      <c r="D29" s="33">
        <v>1</v>
      </c>
      <c r="E29" s="32"/>
      <c r="F29" s="67"/>
      <c r="G29" s="68"/>
      <c r="H29" s="68"/>
      <c r="I29" s="68"/>
      <c r="J29" s="68"/>
      <c r="K29" s="69"/>
    </row>
    <row r="30" spans="1:11" x14ac:dyDescent="0.25">
      <c r="A30" s="33" t="s">
        <v>223</v>
      </c>
      <c r="B30" s="33">
        <v>3</v>
      </c>
      <c r="C30" s="50" t="s">
        <v>264</v>
      </c>
      <c r="D30" s="33">
        <v>78</v>
      </c>
      <c r="E30" s="32"/>
      <c r="F30" s="67"/>
      <c r="G30" s="68"/>
      <c r="H30" s="68"/>
      <c r="I30" s="68"/>
      <c r="J30" s="68"/>
      <c r="K30" s="69"/>
    </row>
    <row r="31" spans="1:11" x14ac:dyDescent="0.25">
      <c r="A31" s="33" t="s">
        <v>224</v>
      </c>
      <c r="B31" s="33">
        <v>3</v>
      </c>
      <c r="C31" s="50" t="s">
        <v>265</v>
      </c>
      <c r="D31" s="33">
        <v>39</v>
      </c>
      <c r="E31" s="32"/>
      <c r="F31" s="67"/>
      <c r="G31" s="68"/>
      <c r="H31" s="68"/>
      <c r="I31" s="68"/>
      <c r="J31" s="68"/>
      <c r="K31" s="69"/>
    </row>
    <row r="32" spans="1:11" x14ac:dyDescent="0.25">
      <c r="A32" s="33" t="s">
        <v>225</v>
      </c>
      <c r="B32" s="33">
        <v>3</v>
      </c>
      <c r="C32" s="50" t="s">
        <v>266</v>
      </c>
      <c r="D32" s="33">
        <v>2</v>
      </c>
      <c r="E32" s="32"/>
      <c r="F32" s="67"/>
      <c r="G32" s="68"/>
      <c r="H32" s="68"/>
      <c r="I32" s="68"/>
      <c r="J32" s="68"/>
      <c r="K32" s="69"/>
    </row>
    <row r="33" spans="1:17" x14ac:dyDescent="0.25">
      <c r="A33" s="33" t="s">
        <v>226</v>
      </c>
      <c r="B33" s="33">
        <v>3</v>
      </c>
      <c r="C33" s="50" t="s">
        <v>267</v>
      </c>
      <c r="D33" s="33">
        <v>2</v>
      </c>
      <c r="E33" s="32"/>
      <c r="F33" s="67"/>
      <c r="G33" s="68"/>
      <c r="H33" s="68"/>
      <c r="I33" s="68"/>
      <c r="J33" s="68"/>
      <c r="K33" s="69"/>
    </row>
    <row r="34" spans="1:17" x14ac:dyDescent="0.25">
      <c r="A34" s="33" t="s">
        <v>227</v>
      </c>
      <c r="B34" s="33">
        <v>3</v>
      </c>
      <c r="C34" s="50" t="s">
        <v>268</v>
      </c>
      <c r="D34" s="33">
        <v>1</v>
      </c>
      <c r="E34" s="32"/>
      <c r="F34" s="67"/>
      <c r="G34" s="68"/>
      <c r="H34" s="68"/>
      <c r="I34" s="68"/>
      <c r="J34" s="68"/>
      <c r="K34" s="69"/>
    </row>
    <row r="35" spans="1:17" x14ac:dyDescent="0.25">
      <c r="A35" s="33" t="s">
        <v>228</v>
      </c>
      <c r="B35" s="33">
        <v>3</v>
      </c>
      <c r="C35" s="50" t="s">
        <v>269</v>
      </c>
      <c r="D35" s="33">
        <v>1</v>
      </c>
      <c r="E35" s="32"/>
      <c r="F35" s="67"/>
      <c r="G35" s="68"/>
      <c r="H35" s="68"/>
      <c r="I35" s="68"/>
      <c r="J35" s="68"/>
      <c r="K35" s="69"/>
    </row>
    <row r="36" spans="1:17" x14ac:dyDescent="0.25">
      <c r="A36" s="33" t="s">
        <v>229</v>
      </c>
      <c r="B36" s="33">
        <v>3</v>
      </c>
      <c r="C36" s="50" t="s">
        <v>270</v>
      </c>
      <c r="D36" s="33">
        <v>1</v>
      </c>
      <c r="E36" s="32"/>
      <c r="F36" s="67"/>
      <c r="G36" s="68"/>
      <c r="H36" s="68"/>
      <c r="I36" s="68"/>
      <c r="J36" s="68"/>
      <c r="K36" s="69"/>
    </row>
    <row r="37" spans="1:17" x14ac:dyDescent="0.25">
      <c r="A37" s="33" t="s">
        <v>231</v>
      </c>
      <c r="B37" s="33">
        <v>3</v>
      </c>
      <c r="C37" s="50" t="s">
        <v>271</v>
      </c>
      <c r="D37" s="33">
        <v>1</v>
      </c>
      <c r="E37" s="32"/>
      <c r="F37" s="67"/>
      <c r="G37" s="68"/>
      <c r="H37" s="68"/>
      <c r="I37" s="68"/>
      <c r="J37" s="68"/>
      <c r="K37" s="69"/>
      <c r="Q37" s="48"/>
    </row>
    <row r="38" spans="1:17" x14ac:dyDescent="0.25">
      <c r="A38" s="33" t="s">
        <v>232</v>
      </c>
      <c r="B38" s="33">
        <v>3</v>
      </c>
      <c r="C38" s="50" t="s">
        <v>272</v>
      </c>
      <c r="D38" s="33">
        <v>1</v>
      </c>
      <c r="E38" s="32"/>
      <c r="F38" s="67"/>
      <c r="G38" s="68"/>
      <c r="H38" s="68"/>
      <c r="I38" s="68"/>
      <c r="J38" s="68"/>
      <c r="K38" s="69"/>
    </row>
    <row r="39" spans="1:17" x14ac:dyDescent="0.25">
      <c r="A39" s="33" t="s">
        <v>244</v>
      </c>
      <c r="B39" s="33">
        <v>3</v>
      </c>
      <c r="C39" s="50" t="s">
        <v>272</v>
      </c>
      <c r="D39" s="33">
        <v>1</v>
      </c>
      <c r="E39" s="32"/>
      <c r="F39" s="67"/>
      <c r="G39" s="68"/>
      <c r="H39" s="68"/>
      <c r="I39" s="68"/>
      <c r="J39" s="68"/>
      <c r="K39" s="69"/>
    </row>
    <row r="40" spans="1:17" x14ac:dyDescent="0.25">
      <c r="A40" s="33" t="s">
        <v>245</v>
      </c>
      <c r="B40" s="33">
        <v>3</v>
      </c>
      <c r="C40" s="50" t="s">
        <v>273</v>
      </c>
      <c r="D40" s="33">
        <v>1</v>
      </c>
      <c r="E40" s="32"/>
      <c r="F40" s="70"/>
      <c r="G40" s="71"/>
      <c r="H40" s="71"/>
      <c r="I40" s="71"/>
      <c r="J40" s="71"/>
      <c r="K40" s="72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105.71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2" t="s">
        <v>261</v>
      </c>
      <c r="I42" s="33">
        <v>1</v>
      </c>
      <c r="J42" s="75" t="s">
        <v>293</v>
      </c>
      <c r="K42" s="32">
        <f>I42*E42</f>
        <v>7.21</v>
      </c>
    </row>
    <row r="43" spans="1:17" x14ac:dyDescent="0.25">
      <c r="A43" s="78"/>
      <c r="B43" s="78"/>
      <c r="C43" s="79"/>
      <c r="D43" s="78"/>
      <c r="E43" s="80"/>
      <c r="F43" s="78"/>
      <c r="G43" s="78"/>
      <c r="H43" s="83"/>
      <c r="I43" s="78"/>
      <c r="J43" s="84"/>
      <c r="K43" s="80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73" t="s">
        <v>291</v>
      </c>
      <c r="G44" s="46" t="s">
        <v>176</v>
      </c>
      <c r="H44" s="62" t="s">
        <v>261</v>
      </c>
      <c r="I44" s="33">
        <v>3</v>
      </c>
      <c r="J44" s="76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73" t="s">
        <v>290</v>
      </c>
      <c r="G45" s="46" t="s">
        <v>176</v>
      </c>
      <c r="H45" s="62" t="s">
        <v>261</v>
      </c>
      <c r="I45" s="33">
        <v>2</v>
      </c>
      <c r="J45" s="76"/>
      <c r="K45" s="32">
        <f t="shared" ref="K45:K55" si="1">I45*E45</f>
        <v>16.18</v>
      </c>
    </row>
    <row r="46" spans="1:17" ht="30" x14ac:dyDescent="0.25">
      <c r="A46" s="47" t="s">
        <v>294</v>
      </c>
      <c r="B46" s="33">
        <v>3</v>
      </c>
      <c r="C46" s="34" t="s">
        <v>213</v>
      </c>
      <c r="D46" s="33">
        <v>2</v>
      </c>
      <c r="E46" s="32">
        <v>9.99</v>
      </c>
      <c r="F46" s="73" t="s">
        <v>289</v>
      </c>
      <c r="G46" s="46" t="s">
        <v>176</v>
      </c>
      <c r="H46" s="62" t="s">
        <v>261</v>
      </c>
      <c r="I46" s="33">
        <v>1</v>
      </c>
      <c r="J46" s="76"/>
      <c r="K46" s="32">
        <f t="shared" si="1"/>
        <v>9.99</v>
      </c>
    </row>
    <row r="47" spans="1:17" x14ac:dyDescent="0.25">
      <c r="A47" s="78"/>
      <c r="B47" s="78"/>
      <c r="C47" s="79"/>
      <c r="D47" s="78"/>
      <c r="E47" s="80"/>
      <c r="F47" s="78"/>
      <c r="G47" s="78"/>
      <c r="H47" s="78"/>
      <c r="I47" s="78"/>
      <c r="J47" s="84"/>
      <c r="K47" s="80"/>
    </row>
    <row r="48" spans="1:17" x14ac:dyDescent="0.25">
      <c r="A48" s="47" t="s">
        <v>295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76"/>
      <c r="K48" s="32">
        <f t="shared" ref="K48:K58" si="2">I48*E48</f>
        <v>0</v>
      </c>
    </row>
    <row r="49" spans="1:17" x14ac:dyDescent="0.25">
      <c r="A49" s="47" t="s">
        <v>296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76"/>
      <c r="K49" s="32">
        <f>I49*E49</f>
        <v>0</v>
      </c>
    </row>
    <row r="50" spans="1:17" x14ac:dyDescent="0.25">
      <c r="A50" s="85"/>
      <c r="B50" s="78"/>
      <c r="C50" s="79"/>
      <c r="D50" s="78"/>
      <c r="E50" s="80"/>
      <c r="F50" s="78"/>
      <c r="G50" s="78"/>
      <c r="H50" s="78"/>
      <c r="I50" s="78"/>
      <c r="J50" s="84"/>
      <c r="K50" s="80"/>
    </row>
    <row r="51" spans="1:17" ht="30" x14ac:dyDescent="0.25">
      <c r="A51" s="47" t="s">
        <v>297</v>
      </c>
      <c r="B51" s="33">
        <v>3</v>
      </c>
      <c r="C51" s="34" t="s">
        <v>214</v>
      </c>
      <c r="D51" s="33">
        <v>6</v>
      </c>
      <c r="E51" s="32">
        <v>7.79</v>
      </c>
      <c r="F51" s="73" t="s">
        <v>288</v>
      </c>
      <c r="G51" s="46" t="s">
        <v>176</v>
      </c>
      <c r="H51" s="62" t="s">
        <v>261</v>
      </c>
      <c r="I51" s="33">
        <v>3</v>
      </c>
      <c r="J51" s="76"/>
      <c r="K51" s="32">
        <f t="shared" ref="K51:K61" si="3">I51*E51</f>
        <v>23.37</v>
      </c>
      <c r="Q51" s="31"/>
    </row>
    <row r="52" spans="1:17" x14ac:dyDescent="0.25">
      <c r="A52" s="47" t="s">
        <v>298</v>
      </c>
      <c r="B52" s="33">
        <v>3</v>
      </c>
      <c r="C52" s="34" t="s">
        <v>217</v>
      </c>
      <c r="D52" s="33">
        <v>9</v>
      </c>
      <c r="E52" s="51">
        <v>22.99</v>
      </c>
      <c r="F52" s="47" t="s">
        <v>260</v>
      </c>
      <c r="G52" s="56" t="s">
        <v>176</v>
      </c>
      <c r="H52" s="58" t="s">
        <v>259</v>
      </c>
      <c r="I52" s="54"/>
      <c r="J52" s="76"/>
      <c r="K52" s="51">
        <f t="shared" si="3"/>
        <v>0</v>
      </c>
    </row>
    <row r="53" spans="1:17" x14ac:dyDescent="0.25">
      <c r="A53" s="47" t="s">
        <v>299</v>
      </c>
      <c r="B53" s="33">
        <v>3</v>
      </c>
      <c r="C53" s="34" t="s">
        <v>221</v>
      </c>
      <c r="D53" s="33">
        <v>7</v>
      </c>
      <c r="E53" s="53"/>
      <c r="F53" s="47" t="s">
        <v>255</v>
      </c>
      <c r="G53" s="57"/>
      <c r="H53" s="59"/>
      <c r="I53" s="55"/>
      <c r="J53" s="76"/>
      <c r="K53" s="53"/>
    </row>
    <row r="54" spans="1:17" x14ac:dyDescent="0.25">
      <c r="A54" s="47" t="s">
        <v>300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2" t="s">
        <v>261</v>
      </c>
      <c r="I54" s="33">
        <v>1</v>
      </c>
      <c r="J54" s="76"/>
      <c r="K54" s="32">
        <f>I54*E54</f>
        <v>9.99</v>
      </c>
    </row>
    <row r="55" spans="1:17" x14ac:dyDescent="0.25">
      <c r="A55" s="47" t="s">
        <v>301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76"/>
      <c r="K55" s="32">
        <f t="shared" si="2"/>
        <v>0</v>
      </c>
    </row>
    <row r="56" spans="1:17" x14ac:dyDescent="0.25">
      <c r="A56" s="47" t="s">
        <v>302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287</v>
      </c>
      <c r="G56" s="46" t="s">
        <v>176</v>
      </c>
      <c r="H56" s="47" t="s">
        <v>248</v>
      </c>
      <c r="I56" s="33"/>
      <c r="J56" s="77"/>
      <c r="K56" s="32"/>
    </row>
    <row r="57" spans="1:17" x14ac:dyDescent="0.25">
      <c r="A57" s="78"/>
      <c r="B57" s="78"/>
      <c r="C57" s="79"/>
      <c r="D57" s="78"/>
      <c r="E57" s="80"/>
      <c r="F57" s="81"/>
      <c r="G57" s="78"/>
      <c r="H57" s="78"/>
      <c r="I57" s="78"/>
      <c r="J57" s="80"/>
      <c r="K57" s="80"/>
    </row>
    <row r="58" spans="1:17" x14ac:dyDescent="0.25">
      <c r="A58" s="47" t="s">
        <v>303</v>
      </c>
      <c r="B58" s="33">
        <v>3</v>
      </c>
      <c r="C58" s="50" t="s">
        <v>274</v>
      </c>
      <c r="D58" s="33">
        <v>1</v>
      </c>
      <c r="E58" s="32"/>
      <c r="F58" s="74" t="s">
        <v>292</v>
      </c>
      <c r="G58" s="65"/>
      <c r="H58" s="65"/>
      <c r="I58" s="65"/>
      <c r="J58" s="65"/>
      <c r="K58" s="66"/>
    </row>
    <row r="59" spans="1:17" x14ac:dyDescent="0.25">
      <c r="A59" s="47" t="s">
        <v>304</v>
      </c>
      <c r="B59" s="33">
        <v>3</v>
      </c>
      <c r="C59" s="50" t="s">
        <v>275</v>
      </c>
      <c r="D59" s="33">
        <v>1</v>
      </c>
      <c r="E59" s="32"/>
      <c r="F59" s="67"/>
      <c r="G59" s="68"/>
      <c r="H59" s="68"/>
      <c r="I59" s="68"/>
      <c r="J59" s="68"/>
      <c r="K59" s="69"/>
    </row>
    <row r="60" spans="1:17" x14ac:dyDescent="0.25">
      <c r="A60" s="47" t="s">
        <v>305</v>
      </c>
      <c r="B60" s="33">
        <v>3</v>
      </c>
      <c r="C60" s="50" t="s">
        <v>276</v>
      </c>
      <c r="D60" s="33">
        <v>44</v>
      </c>
      <c r="E60" s="32"/>
      <c r="F60" s="67"/>
      <c r="G60" s="68"/>
      <c r="H60" s="68"/>
      <c r="I60" s="68"/>
      <c r="J60" s="68"/>
      <c r="K60" s="69"/>
    </row>
    <row r="61" spans="1:17" x14ac:dyDescent="0.25">
      <c r="A61" s="47" t="s">
        <v>306</v>
      </c>
      <c r="B61" s="33">
        <v>3</v>
      </c>
      <c r="C61" s="50" t="s">
        <v>277</v>
      </c>
      <c r="D61" s="33">
        <v>22</v>
      </c>
      <c r="E61" s="32"/>
      <c r="F61" s="67"/>
      <c r="G61" s="68"/>
      <c r="H61" s="68"/>
      <c r="I61" s="68"/>
      <c r="J61" s="68"/>
      <c r="K61" s="69"/>
    </row>
    <row r="62" spans="1:17" x14ac:dyDescent="0.25">
      <c r="A62" s="47" t="s">
        <v>307</v>
      </c>
      <c r="B62" s="33">
        <v>3</v>
      </c>
      <c r="C62" s="50" t="s">
        <v>278</v>
      </c>
      <c r="D62" s="33">
        <v>2</v>
      </c>
      <c r="E62" s="32"/>
      <c r="F62" s="67"/>
      <c r="G62" s="68"/>
      <c r="H62" s="68"/>
      <c r="I62" s="68"/>
      <c r="J62" s="68"/>
      <c r="K62" s="69"/>
    </row>
    <row r="63" spans="1:17" x14ac:dyDescent="0.25">
      <c r="A63" s="47" t="s">
        <v>308</v>
      </c>
      <c r="B63" s="33">
        <v>3</v>
      </c>
      <c r="C63" s="50" t="s">
        <v>279</v>
      </c>
      <c r="D63" s="33">
        <v>2</v>
      </c>
      <c r="E63" s="32"/>
      <c r="F63" s="67"/>
      <c r="G63" s="68"/>
      <c r="H63" s="68"/>
      <c r="I63" s="68"/>
      <c r="J63" s="68"/>
      <c r="K63" s="69"/>
    </row>
    <row r="64" spans="1:17" x14ac:dyDescent="0.25">
      <c r="A64" s="47" t="s">
        <v>309</v>
      </c>
      <c r="B64" s="33">
        <v>3</v>
      </c>
      <c r="C64" s="50" t="s">
        <v>280</v>
      </c>
      <c r="D64" s="33">
        <v>1</v>
      </c>
      <c r="E64" s="32"/>
      <c r="F64" s="67"/>
      <c r="G64" s="68"/>
      <c r="H64" s="68"/>
      <c r="I64" s="68"/>
      <c r="J64" s="68"/>
      <c r="K64" s="69"/>
    </row>
    <row r="65" spans="1:11" x14ac:dyDescent="0.25">
      <c r="A65" s="47" t="s">
        <v>310</v>
      </c>
      <c r="B65" s="33">
        <v>3</v>
      </c>
      <c r="C65" s="50" t="s">
        <v>281</v>
      </c>
      <c r="D65" s="33">
        <v>1</v>
      </c>
      <c r="E65" s="32"/>
      <c r="F65" s="67"/>
      <c r="G65" s="68"/>
      <c r="H65" s="68"/>
      <c r="I65" s="68"/>
      <c r="J65" s="68"/>
      <c r="K65" s="69"/>
    </row>
    <row r="66" spans="1:11" x14ac:dyDescent="0.25">
      <c r="A66" s="47" t="s">
        <v>311</v>
      </c>
      <c r="B66" s="33">
        <v>3</v>
      </c>
      <c r="C66" s="50" t="s">
        <v>282</v>
      </c>
      <c r="D66" s="33">
        <v>1</v>
      </c>
      <c r="E66" s="32"/>
      <c r="F66" s="67"/>
      <c r="G66" s="68"/>
      <c r="H66" s="68"/>
      <c r="I66" s="68"/>
      <c r="J66" s="68"/>
      <c r="K66" s="69"/>
    </row>
    <row r="67" spans="1:11" x14ac:dyDescent="0.25">
      <c r="A67" s="47" t="s">
        <v>312</v>
      </c>
      <c r="B67" s="33">
        <v>3</v>
      </c>
      <c r="C67" s="50" t="s">
        <v>283</v>
      </c>
      <c r="D67" s="33">
        <v>1</v>
      </c>
      <c r="E67" s="32"/>
      <c r="F67" s="67"/>
      <c r="G67" s="68"/>
      <c r="H67" s="68"/>
      <c r="I67" s="68"/>
      <c r="J67" s="68"/>
      <c r="K67" s="69"/>
    </row>
    <row r="68" spans="1:11" x14ac:dyDescent="0.25">
      <c r="A68" s="47" t="s">
        <v>313</v>
      </c>
      <c r="B68" s="33">
        <v>3</v>
      </c>
      <c r="C68" s="50" t="s">
        <v>284</v>
      </c>
      <c r="D68" s="33">
        <v>1</v>
      </c>
      <c r="E68" s="32"/>
      <c r="F68" s="67"/>
      <c r="G68" s="68"/>
      <c r="H68" s="68"/>
      <c r="I68" s="68"/>
      <c r="J68" s="68"/>
      <c r="K68" s="69"/>
    </row>
    <row r="69" spans="1:11" x14ac:dyDescent="0.25">
      <c r="A69" s="47" t="s">
        <v>314</v>
      </c>
      <c r="B69" s="33">
        <v>3</v>
      </c>
      <c r="C69" s="50" t="s">
        <v>284</v>
      </c>
      <c r="D69" s="33">
        <v>1</v>
      </c>
      <c r="E69" s="32"/>
      <c r="F69" s="67"/>
      <c r="G69" s="68"/>
      <c r="H69" s="68"/>
      <c r="I69" s="68"/>
      <c r="J69" s="68"/>
      <c r="K69" s="69"/>
    </row>
    <row r="70" spans="1:11" x14ac:dyDescent="0.25">
      <c r="A70" s="47" t="s">
        <v>315</v>
      </c>
      <c r="B70" s="33">
        <v>3</v>
      </c>
      <c r="C70" s="50" t="s">
        <v>285</v>
      </c>
      <c r="D70" s="33">
        <v>1</v>
      </c>
      <c r="E70" s="32"/>
      <c r="F70" s="67"/>
      <c r="G70" s="68"/>
      <c r="H70" s="68"/>
      <c r="I70" s="68"/>
      <c r="J70" s="68"/>
      <c r="K70" s="69"/>
    </row>
  </sheetData>
  <mergeCells count="14">
    <mergeCell ref="K52:K53"/>
    <mergeCell ref="F28:K40"/>
    <mergeCell ref="F58:K70"/>
    <mergeCell ref="J42:J56"/>
    <mergeCell ref="E52:E53"/>
    <mergeCell ref="G52:G53"/>
    <mergeCell ref="H52:H53"/>
    <mergeCell ref="I52:I53"/>
    <mergeCell ref="J12:J26"/>
    <mergeCell ref="H22:H23"/>
    <mergeCell ref="G22:G23"/>
    <mergeCell ref="I22:I23"/>
    <mergeCell ref="E22:E23"/>
    <mergeCell ref="K22:K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6" r:id="rId15" xr:uid="{B027617C-3F89-419E-A842-31851D15B3A1}"/>
    <hyperlink ref="G48" r:id="rId16" xr:uid="{CF4E87A8-2CD6-44E7-B022-0B1B179E9C9B}"/>
    <hyperlink ref="G49" r:id="rId17" xr:uid="{E7EE2972-5E2C-4E50-B232-CF0017396C34}"/>
    <hyperlink ref="G44" r:id="rId18" xr:uid="{3BE946ED-0C3E-4843-8774-E4F93E18E598}"/>
    <hyperlink ref="G42" r:id="rId19" xr:uid="{F408121A-1D17-44CD-9FA6-54DD50AB9900}"/>
    <hyperlink ref="G55" r:id="rId20" xr:uid="{FEA4F571-F1A3-49CD-8ADA-35A12B26F775}"/>
    <hyperlink ref="G56" r:id="rId21" xr:uid="{F758FAF3-7978-4F47-B4FF-CA876A9FFDA1}"/>
    <hyperlink ref="G45" r:id="rId22" xr:uid="{5E52BE69-7A7F-4A75-A558-F821970562D3}"/>
    <hyperlink ref="G51" r:id="rId23" xr:uid="{181C5DE6-9473-4241-B12C-D25DC1804061}"/>
    <hyperlink ref="G54" r:id="rId24" xr:uid="{19AC5AEB-C68E-4393-AAB8-3C0E0C06A444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2026-08-03T06:53:54Z</dcterms:modified>
  <dc:language>en-US</dc:language>
</cp:coreProperties>
</file>