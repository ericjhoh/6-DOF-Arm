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99E67087-4D7F-4308-9817-7100502A31E8}" xr6:coauthVersionLast="47" xr6:coauthVersionMax="47" xr10:uidLastSave="{00000000-0000-0000-0000-000000000000}"/>
  <bookViews>
    <workbookView xWindow="-24684" yWindow="2064" windowWidth="24792" windowHeight="14856" tabRatio="500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" i="3" l="1"/>
  <c r="K77" i="3"/>
  <c r="K76" i="3"/>
  <c r="K74" i="3"/>
  <c r="B39" i="1"/>
  <c r="B38" i="1"/>
  <c r="K73" i="3" l="1"/>
  <c r="K54" i="3"/>
  <c r="K55" i="3"/>
  <c r="K49" i="3"/>
  <c r="K52" i="3"/>
  <c r="K51" i="3"/>
  <c r="K48" i="3"/>
  <c r="K46" i="3"/>
  <c r="K45" i="3"/>
  <c r="K44" i="3"/>
  <c r="K42" i="3"/>
  <c r="K14" i="3"/>
  <c r="K10" i="3"/>
  <c r="K9" i="3"/>
  <c r="K25" i="3"/>
  <c r="K22" i="3"/>
  <c r="K21" i="3"/>
  <c r="K15" i="3"/>
  <c r="K16" i="3"/>
  <c r="K18" i="3"/>
  <c r="K19" i="3"/>
  <c r="K12" i="3"/>
  <c r="K4" i="3"/>
  <c r="K7" i="3"/>
  <c r="K6" i="3"/>
  <c r="K5" i="3"/>
  <c r="E59" i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D54" i="1"/>
  <c r="C54" i="1"/>
  <c r="F49" i="1"/>
  <c r="F48" i="1"/>
  <c r="E44" i="1"/>
  <c r="D44" i="1"/>
  <c r="B44" i="1"/>
  <c r="E43" i="1"/>
  <c r="D43" i="1"/>
  <c r="B43" i="1"/>
  <c r="E42" i="1"/>
  <c r="D42" i="1"/>
  <c r="B42" i="1"/>
  <c r="E41" i="1"/>
  <c r="D41" i="1"/>
  <c r="B41" i="1"/>
  <c r="G41" i="1" s="1"/>
  <c r="E40" i="1"/>
  <c r="D40" i="1"/>
  <c r="B40" i="1"/>
  <c r="D39" i="1"/>
  <c r="F39" i="1" s="1"/>
  <c r="D38" i="1"/>
  <c r="F38" i="1" s="1"/>
  <c r="B9" i="1"/>
  <c r="K41" i="3" l="1"/>
  <c r="F44" i="1"/>
  <c r="F40" i="1"/>
  <c r="F54" i="1"/>
  <c r="G54" i="1" s="1"/>
  <c r="F59" i="1"/>
  <c r="G59" i="1" s="1"/>
  <c r="G42" i="1"/>
  <c r="G43" i="1"/>
  <c r="K11" i="3"/>
  <c r="K3" i="3"/>
  <c r="F50" i="1"/>
  <c r="G44" i="1"/>
  <c r="B57" i="1"/>
  <c r="C57" i="1" s="1"/>
  <c r="F57" i="1" s="1"/>
  <c r="G57" i="1" s="1"/>
  <c r="B58" i="1"/>
  <c r="C58" i="1" s="1"/>
  <c r="F58" i="1" s="1"/>
  <c r="G58" i="1" s="1"/>
  <c r="G40" i="1"/>
  <c r="F42" i="1"/>
  <c r="F41" i="1"/>
  <c r="F43" i="1"/>
  <c r="G45" i="1" l="1"/>
  <c r="B56" i="1" s="1"/>
  <c r="C56" i="1" s="1"/>
  <c r="F56" i="1" s="1"/>
  <c r="G56" i="1" s="1"/>
  <c r="F45" i="1"/>
  <c r="B55" i="1" s="1"/>
  <c r="C55" i="1" s="1"/>
  <c r="F55" i="1" s="1"/>
  <c r="G55" i="1" s="1"/>
  <c r="K2" i="3"/>
</calcChain>
</file>

<file path=xl/sharedStrings.xml><?xml version="1.0" encoding="utf-8"?>
<sst xmlns="http://schemas.openxmlformats.org/spreadsheetml/2006/main" count="406" uniqueCount="325">
  <si>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</si>
  <si>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</si>
  <si>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</si>
  <si>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</si>
  <si>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</si>
  <si>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</si>
  <si>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</si>
  <si>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</si>
  <si>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</si>
  <si>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</si>
  <si>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</si>
  <si>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</si>
  <si>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</si>
  <si>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</si>
  <si>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</si>
  <si>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</si>
  <si>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</si>
  <si>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</si>
  <si>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</si>
  <si>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</si>
  <si>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</si>
  <si>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</si>
  <si>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</si>
  <si>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</si>
  <si>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</si>
  <si>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</si>
  <si>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</si>
  <si>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</si>
  <si>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</si>
  <si>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</si>
  <si>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</si>
  <si>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</si>
  <si>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</si>
  <si>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</si>
  <si>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</si>
  <si>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</si>
  <si>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</si>
  <si>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</si>
  <si>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</si>
  <si>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</si>
  <si>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</si>
  <si>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</si>
  <si>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</si>
  <si>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</si>
  <si>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</si>
  <si>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</si>
  <si>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</si>
  <si>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</si>
  <si>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</si>
  <si>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</si>
  <si>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</si>
  <si>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</si>
  <si>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</si>
  <si>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</si>
  <si>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</si>
  <si>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</si>
  <si>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</si>
  <si>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</si>
  <si>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</si>
  <si>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</si>
  <si>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</si>
  <si>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</si>
  <si>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</si>
  <si>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</si>
  <si>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</si>
  <si>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</si>
  <si>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</si>
  <si>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</si>
  <si>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</si>
  <si>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</si>
  <si>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</si>
  <si>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</si>
  <si>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</si>
  <si>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</si>
  <si>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</si>
  <si>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</si>
  <si>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</si>
  <si>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</si>
  <si>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</si>
  <si>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</si>
  <si>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</si>
  <si>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</si>
  <si>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</si>
  <si>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</si>
  <si>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</si>
  <si>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</si>
  <si>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</si>
  <si>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</si>
  <si>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</si>
  <si>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</si>
  <si>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</si>
  <si>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</si>
  <si>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</si>
  <si>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</si>
  <si>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</si>
  <si>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</si>
  <si>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</si>
  <si>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</si>
  <si>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</si>
  <si>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</si>
  <si>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</si>
  <si>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</si>
  <si>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</si>
  <si>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</si>
  <si>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</si>
  <si>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</si>
  <si>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</si>
  <si>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</si>
  <si>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</si>
  <si>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</si>
  <si>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</si>
  <si>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</si>
  <si>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</si>
  <si>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</si>
  <si>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</si>
  <si>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</si>
  <si>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</si>
  <si>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</si>
  <si>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</si>
  <si>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</si>
  <si>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</si>
  <si>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</si>
  <si>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</si>
  <si>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</si>
  <si>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</si>
  <si>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</si>
  <si>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</si>
  <si>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</si>
  <si>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</si>
  <si>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</si>
  <si>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</si>
  <si>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</si>
  <si>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</si>
  <si>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</si>
  <si>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</si>
  <si>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</si>
  <si>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</si>
  <si>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</si>
  <si>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</si>
  <si>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</si>
  <si>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</si>
  <si>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</si>
  <si>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</si>
  <si>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</si>
  <si>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</si>
  <si>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</si>
  <si>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</si>
  <si>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</si>
  <si>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</si>
  <si>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</si>
  <si>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</si>
  <si>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</si>
  <si>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</si>
  <si>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</si>
  <si>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</si>
  <si>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</si>
  <si>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</si>
  <si>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</si>
  <si>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</si>
  <si>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</si>
  <si>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</si>
  <si>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</si>
  <si>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</si>
  <si>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</si>
  <si>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</si>
  <si>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</si>
  <si>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</si>
  <si>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</si>
  <si>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</si>
  <si>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</si>
  <si>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</si>
  <si>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moteus r4 heat spreader</t>
  </si>
  <si>
    <t>moteus r4.11 controller</t>
  </si>
  <si>
    <t>mj5208 brushless motor</t>
  </si>
  <si>
    <t>link</t>
  </si>
  <si>
    <t>moteus r4.11 developer kit</t>
  </si>
  <si>
    <t>Here</t>
  </si>
  <si>
    <t>Price per Unit</t>
  </si>
  <si>
    <t>Ordered On</t>
  </si>
  <si>
    <t>1.3.3</t>
  </si>
  <si>
    <t>J4, J5, J6</t>
  </si>
  <si>
    <t>moteus-c1 controller</t>
  </si>
  <si>
    <t>1.3.2</t>
  </si>
  <si>
    <t>SteadyWin GIM3505-8 planetary reducer motor</t>
  </si>
  <si>
    <t>1.3.1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</si>
  <si>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</si>
  <si>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</si>
  <si>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</si>
  <si>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</si>
  <si>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</si>
  <si>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</si>
  <si>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</si>
  <si>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</si>
  <si>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</si>
  <si>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</si>
  <si>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</si>
  <si>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</si>
  <si>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1.1.5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</si>
  <si>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</si>
  <si>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</si>
  <si>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</si>
  <si>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</si>
  <si>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</si>
  <si>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</si>
  <si>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</si>
  <si>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</si>
  <si>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</si>
  <si>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</si>
  <si>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</si>
  <si>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</si>
  <si>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</si>
  <si>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</si>
  <si>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</si>
  <si>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</si>
  <si>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Shoulder bolts M5</t>
  </si>
  <si>
    <t xml:space="preserve">M5 Heat Set Threaded Inserts </t>
  </si>
  <si>
    <t xml:space="preserve">M2.5 Heat Set Threaded Inserts </t>
  </si>
  <si>
    <t>M5 Screw</t>
  </si>
  <si>
    <t>1.2.11</t>
  </si>
  <si>
    <t>1.2.12</t>
  </si>
  <si>
    <t>1.2.13</t>
  </si>
  <si>
    <t>M3 Screw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</si>
  <si>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</si>
  <si>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</si>
  <si>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</si>
  <si>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</si>
  <si>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</si>
  <si>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</si>
  <si>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</si>
  <si>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</si>
  <si>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Specifications</t>
  </si>
  <si>
    <t>1.2.22</t>
  </si>
  <si>
    <t>1.2.23</t>
  </si>
  <si>
    <t>3D Printed Parts</t>
  </si>
  <si>
    <t>Hex Shaft</t>
  </si>
  <si>
    <t>Price/Pack</t>
  </si>
  <si>
    <t>M5 x Ø10mm x 7mm (50 pcs)</t>
  </si>
  <si>
    <t>ID 50mm x OD 65mm x 7mm (2 pcs)</t>
  </si>
  <si>
    <t xml:space="preserve"> ID 15mm x OD 28mm x 7mm (8 pcs)</t>
  </si>
  <si>
    <t>ID 5mm x  OD 10mm x 4mm (30 pcs)</t>
  </si>
  <si>
    <t>Ø5mm x 30mm (50 pcs)</t>
  </si>
  <si>
    <t>M2.5 x Ø3.5mm x 4mm (100 pcs)</t>
  </si>
  <si>
    <t>M5x0.8 around 64mm in total length (4 pcs)</t>
  </si>
  <si>
    <t>M2.5 Screw</t>
  </si>
  <si>
    <t>1.2.24</t>
  </si>
  <si>
    <t>1.2.25</t>
  </si>
  <si>
    <t>5mm x 51mm (4 pcs 400mm in length each)</t>
  </si>
  <si>
    <t>M5x0.8 x 13mm length</t>
  </si>
  <si>
    <t>Already Have</t>
  </si>
  <si>
    <t xml:space="preserve">M2.5 x 4mm length </t>
  </si>
  <si>
    <t>Total Cost</t>
  </si>
  <si>
    <t>M2.5 Set Screw</t>
  </si>
  <si>
    <t>M2.5 x 4mm length (50 pieces)</t>
  </si>
  <si>
    <t>Shipping/Tax</t>
  </si>
  <si>
    <t># of Packs Ordered</t>
  </si>
  <si>
    <t>M3 x 4mm length (4)  6mm length (3)</t>
  </si>
  <si>
    <t>1.1.6</t>
  </si>
  <si>
    <t xml:space="preserve">M2.5 x Ø3.5mm x 4mm (100 pcs) </t>
  </si>
  <si>
    <t>Already Have from 30:1</t>
  </si>
  <si>
    <t>Already have from 30:1</t>
  </si>
  <si>
    <t>M5x0.8 x 10mm length</t>
  </si>
  <si>
    <t>30-Ouput Flange</t>
  </si>
  <si>
    <t>30-Input Flange</t>
  </si>
  <si>
    <t>30-Thin Spacer</t>
  </si>
  <si>
    <t>30-Thick Spacer</t>
  </si>
  <si>
    <t xml:space="preserve">30-Cycloidal Disk </t>
  </si>
  <si>
    <t xml:space="preserve">30-Eccentric Cam </t>
  </si>
  <si>
    <t>30-Centered Cam</t>
  </si>
  <si>
    <t>30-Input Cam</t>
  </si>
  <si>
    <t>30-Motor Housing</t>
  </si>
  <si>
    <t>30-Mid Wall</t>
  </si>
  <si>
    <t>30-Output Wall</t>
  </si>
  <si>
    <t>30-Coupler</t>
  </si>
  <si>
    <t>15-Ouput Flange</t>
  </si>
  <si>
    <t>15-Input Flange</t>
  </si>
  <si>
    <t>15-Thin Spacer</t>
  </si>
  <si>
    <t>15-Thick Spacer</t>
  </si>
  <si>
    <t xml:space="preserve">15-Cycloidal Disk </t>
  </si>
  <si>
    <t xml:space="preserve">15-Eccentric Cam </t>
  </si>
  <si>
    <t>15-Centered Cam</t>
  </si>
  <si>
    <t>15-Input Cam</t>
  </si>
  <si>
    <t>15-Motor Housing</t>
  </si>
  <si>
    <t>15-Mid Wall</t>
  </si>
  <si>
    <t>15-Output Wall</t>
  </si>
  <si>
    <t>15-Coupler</t>
  </si>
  <si>
    <t>6-DOF Robotic Arm</t>
  </si>
  <si>
    <t>5mm x 56mm (4 pcs 400mm in length each)</t>
  </si>
  <si>
    <t>M5x0.8 around 54mm in total length (4 pcs)
Purchase 3 packs for two 15:1 gearboxes</t>
  </si>
  <si>
    <t>ID 40mm x OD 52mm x 7mm (4 pcs)
Purchase 1 pack for two 15:1 gearboxes</t>
  </si>
  <si>
    <t>ID 5mm x  OD 10mm x 4mm (30 pcs)
Purchase 3 packs for two 15:1 gearboxes</t>
  </si>
  <si>
    <t>3D Printed Parts
Need to 2x prints for two 15:1 gearboxes</t>
  </si>
  <si>
    <t>1.3.4</t>
  </si>
  <si>
    <t>1.3.5</t>
  </si>
  <si>
    <t>1.3.6</t>
  </si>
  <si>
    <t>1.3.7</t>
  </si>
  <si>
    <t>1.3.8</t>
  </si>
  <si>
    <t>1.3.9</t>
  </si>
  <si>
    <t>1.3.10</t>
  </si>
  <si>
    <t>1.3.11</t>
  </si>
  <si>
    <t>1.3.12</t>
  </si>
  <si>
    <t>1.3.13</t>
  </si>
  <si>
    <t>1.3.14</t>
  </si>
  <si>
    <t>1.3.15</t>
  </si>
  <si>
    <t>1.3.16</t>
  </si>
  <si>
    <t>1.3.17</t>
  </si>
  <si>
    <t>1.3.18</t>
  </si>
  <si>
    <t>1.3.19</t>
  </si>
  <si>
    <t>1.3.20</t>
  </si>
  <si>
    <t>1.3.21</t>
  </si>
  <si>
    <t>1.3.22</t>
  </si>
  <si>
    <t>1.3.23</t>
  </si>
  <si>
    <t>1.3.24</t>
  </si>
  <si>
    <t>1.3.25</t>
  </si>
  <si>
    <t>3/3</t>
  </si>
  <si>
    <t>7/10/2026
8/3/2026</t>
  </si>
  <si>
    <t>1/1</t>
  </si>
  <si>
    <t>2/2</t>
  </si>
  <si>
    <t>1/3
2/3</t>
  </si>
  <si>
    <t xml:space="preserve"> ID 10mm x OD 15mm x 4mm (10 pcs)
Purchase 1 pack for two 15:1 gearboxes</t>
  </si>
  <si>
    <t>ADD THIS TO BOM PLEASE</t>
  </si>
  <si>
    <t>J4, J5, J6 (V1.0 with encoder)</t>
  </si>
  <si>
    <t>Misc</t>
  </si>
  <si>
    <t>https://www.amazon.com/gp/product/B017TFR664/ref=ox_sc_act_title_3?smid=AITZO53LNBA1K&amp;th=1</t>
  </si>
  <si>
    <t>https://www.amazon.com/gp/product/B0FRNLQZJC/ref=ox_sc_act_title_1?smid=AMQGUUYQT32RH&amp;psc=1</t>
  </si>
  <si>
    <t>https://www.amazon.com/Feggizuli-Connectors-Insulation-Automotive-Electrical/dp/B0B4NSMBTQ/ref=sr_1_4?crid=1QQRUJYCF8IIJ&amp;dib=eyJ2IjoiMSJ9.7JMFXnhOn4EQuI8k8n-MbFSgPqbHDePKJn1EA8NASIBQckj-XOGxBn5wPGUj5ntkQIKP4IVw3ahpaDhUVGwauEk7ikAED8XLtT_EnkKtB3ty_zBfNcrUpQEt7d7Q4nONtcxa5eDnSfLrWRhuW65u4ud42FPDvhrA-J5vyLfzxOuUFQYwFJx-B6eudAMc_6IqVdN4cTmJMB8AQVyQ8Y1X6E2DoyO9-ibVMdCs3kJ9Fos.GInOUC1CjDAXCpQns-V1SNgQFwaVARW5s-_8iPQIXgI&amp;dib_tag=se&amp;keywords=bullet%2Bconnectors%2Bfor%2Bwiring&amp;qid=1786647345&amp;sprefix=bullet%2Bconnectors%2Caps%2C127&amp;sr=8-4&amp;th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</si>
</sst>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9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FF"/>
      <name val="Arial"/>
      <family val="2"/>
    </font>
    <font>
      <b/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theme="0" tint="-0.14999847407452621"/>
        <bgColor rgb="FFFFFFFF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/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10" fillId="0" borderId="0" xfId="0" applyFont="1"/>
    <xf numFmtId="166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 indent="2"/>
    </xf>
    <xf numFmtId="166" fontId="9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 indent="1"/>
    </xf>
    <xf numFmtId="0" fontId="11" fillId="5" borderId="2" xfId="0" applyFont="1" applyFill="1" applyBorder="1" applyAlignment="1">
      <alignment horizontal="center" vertical="center"/>
    </xf>
    <xf numFmtId="14" fontId="10" fillId="5" borderId="2" xfId="0" applyNumberFormat="1" applyFont="1" applyFill="1" applyBorder="1" applyAlignment="1">
      <alignment horizontal="center" vertical="center"/>
    </xf>
    <xf numFmtId="14" fontId="9" fillId="7" borderId="2" xfId="0" applyNumberFormat="1" applyFont="1" applyFill="1" applyBorder="1" applyAlignment="1">
      <alignment horizontal="center" vertical="center"/>
    </xf>
    <xf numFmtId="166" fontId="12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center" vertical="center"/>
    </xf>
    <xf numFmtId="166" fontId="8" fillId="5" borderId="2" xfId="2" applyNumberFormat="1" applyFill="1" applyBorder="1" applyAlignment="1">
      <alignment horizontal="center" vertical="center"/>
    </xf>
    <xf numFmtId="0" fontId="8" fillId="5" borderId="2" xfId="2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0" borderId="0" xfId="0" applyFont="1"/>
    <xf numFmtId="0" fontId="15" fillId="6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 indent="2"/>
    </xf>
    <xf numFmtId="44" fontId="10" fillId="5" borderId="2" xfId="1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left" vertical="center" indent="2"/>
    </xf>
    <xf numFmtId="166" fontId="10" fillId="9" borderId="2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vertical="center"/>
    </xf>
    <xf numFmtId="14" fontId="10" fillId="9" borderId="2" xfId="0" applyNumberFormat="1" applyFont="1" applyFill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49" fontId="14" fillId="5" borderId="2" xfId="0" applyNumberFormat="1" applyFont="1" applyFill="1" applyBorder="1" applyAlignment="1">
      <alignment horizontal="center" vertical="center"/>
    </xf>
    <xf numFmtId="14" fontId="14" fillId="5" borderId="2" xfId="0" applyNumberFormat="1" applyFont="1" applyFill="1" applyBorder="1" applyAlignment="1">
      <alignment horizontal="center" vertical="center" wrapText="1"/>
    </xf>
    <xf numFmtId="49" fontId="14" fillId="5" borderId="2" xfId="0" applyNumberFormat="1" applyFont="1" applyFill="1" applyBorder="1" applyAlignment="1">
      <alignment horizontal="center" vertical="center" wrapText="1"/>
    </xf>
    <xf numFmtId="14" fontId="14" fillId="5" borderId="2" xfId="0" applyNumberFormat="1" applyFont="1" applyFill="1" applyBorder="1" applyAlignment="1">
      <alignment horizontal="center" vertical="center"/>
    </xf>
    <xf numFmtId="1" fontId="17" fillId="0" borderId="0" xfId="0" applyNumberFormat="1" applyFont="1"/>
    <xf numFmtId="0" fontId="18" fillId="0" borderId="0" xfId="0" applyFont="1"/>
    <xf numFmtId="166" fontId="10" fillId="5" borderId="3" xfId="0" applyNumberFormat="1" applyFont="1" applyFill="1" applyBorder="1" applyAlignment="1">
      <alignment horizontal="center" vertical="center"/>
    </xf>
    <xf numFmtId="166" fontId="10" fillId="5" borderId="5" xfId="0" applyNumberFormat="1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5" borderId="10" xfId="0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0" fillId="5" borderId="13" xfId="0" applyFont="1" applyFill="1" applyBorder="1" applyAlignment="1">
      <alignment horizontal="center" vertical="center"/>
    </xf>
    <xf numFmtId="0" fontId="14" fillId="5" borderId="6" xfId="0" applyFont="1" applyFill="1" applyBorder="1" applyAlignment="1">
      <alignment horizontal="center" vertical="center" wrapText="1"/>
    </xf>
    <xf numFmtId="166" fontId="14" fillId="5" borderId="3" xfId="0" applyNumberFormat="1" applyFont="1" applyFill="1" applyBorder="1" applyAlignment="1">
      <alignment horizontal="center" vertical="center" wrapText="1"/>
    </xf>
    <xf numFmtId="166" fontId="10" fillId="9" borderId="4" xfId="0" applyNumberFormat="1" applyFont="1" applyFill="1" applyBorder="1" applyAlignment="1">
      <alignment horizontal="center" vertical="center" wrapText="1"/>
    </xf>
    <xf numFmtId="166" fontId="10" fillId="5" borderId="4" xfId="0" applyNumberFormat="1" applyFont="1" applyFill="1" applyBorder="1" applyAlignment="1">
      <alignment horizontal="center" vertical="center" wrapText="1"/>
    </xf>
    <xf numFmtId="166" fontId="10" fillId="5" borderId="5" xfId="0" applyNumberFormat="1" applyFont="1" applyFill="1" applyBorder="1" applyAlignment="1">
      <alignment horizontal="center" vertical="center" wrapText="1"/>
    </xf>
    <xf numFmtId="0" fontId="8" fillId="5" borderId="3" xfId="2" applyFill="1" applyBorder="1" applyAlignment="1">
      <alignment horizontal="center" vertical="center"/>
    </xf>
    <xf numFmtId="0" fontId="8" fillId="5" borderId="5" xfId="2" applyFill="1" applyBorder="1" applyAlignment="1">
      <alignment horizontal="center" vertical="center"/>
    </xf>
    <xf numFmtId="14" fontId="10" fillId="5" borderId="3" xfId="0" applyNumberFormat="1" applyFont="1" applyFill="1" applyBorder="1" applyAlignment="1">
      <alignment horizontal="center" vertical="center"/>
    </xf>
    <xf numFmtId="14" fontId="10" fillId="5" borderId="5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166" fontId="10" fillId="9" borderId="4" xfId="0" applyNumberFormat="1" applyFont="1" applyFill="1" applyBorder="1" applyAlignment="1">
      <alignment horizontal="center" vertical="center"/>
    </xf>
    <xf numFmtId="166" fontId="10" fillId="5" borderId="4" xfId="0" applyNumberFormat="1" applyFont="1" applyFill="1" applyBorder="1" applyAlignment="1">
      <alignment horizontal="center" vertical="center"/>
    </xf>
    <xf numFmtId="0" fontId="3" fillId="2" borderId="0" xfId="0" applyFont="1" applyFill="1"/>
    <xf numFmtId="166" fontId="14" fillId="5" borderId="3" xfId="0" applyNumberFormat="1" applyFont="1" applyFill="1" applyBorder="1" applyAlignment="1">
      <alignment vertical="center" wrapText="1"/>
    </xf>
    <xf numFmtId="166" fontId="10" fillId="9" borderId="4" xfId="0" applyNumberFormat="1" applyFont="1" applyFill="1" applyBorder="1" applyAlignment="1">
      <alignment vertical="center" wrapText="1"/>
    </xf>
    <xf numFmtId="166" fontId="10" fillId="5" borderId="4" xfId="0" applyNumberFormat="1" applyFont="1" applyFill="1" applyBorder="1" applyAlignment="1">
      <alignment vertical="center" wrapText="1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</xdr:colOff>
      <xdr:row>10</xdr:row>
      <xdr:rowOff>10583</xdr:rowOff>
    </xdr:from>
    <xdr:to>
      <xdr:col>22</xdr:col>
      <xdr:colOff>85280</xdr:colOff>
      <xdr:row>37</xdr:row>
      <xdr:rowOff>58933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A8FD8F-A74B-4D90-A2F5-3EBC6FACA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78501" y="2106083"/>
          <a:ext cx="4382112" cy="51918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anglife-HANGLIFE-Heat-Set-Threaded-Inserts/dp/B0CS6YVJYD?th=1" TargetMode="External"/><Relationship Id="rId13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18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26" Type="http://schemas.openxmlformats.org/officeDocument/2006/relationships/hyperlink" Target="https://www.amazon.com/gp/product/B017TFR664/ref=ox_sc_act_title_3?smid=AITZO53LNBA1K&amp;th=1" TargetMode="External"/><Relationship Id="rId3" Type="http://schemas.openxmlformats.org/officeDocument/2006/relationships/hyperlink" Target="https://mjbots.com/products/moteus-r4-11?variant=41896124154017" TargetMode="External"/><Relationship Id="rId21" Type="http://schemas.openxmlformats.org/officeDocument/2006/relationships/hyperlink" Target="https://www.amazon.com/uxcell-6700ZZ-Groove-Bearings-Shielded/dp/B082PPYZQX/ref=sr_1_3?dib=eyJ2IjoiMSJ9.9mjWA7yjl7PLM8VFgKksVvffkaRx66ubk9KsZO5brFEoK6ghYnk1Og41Nxg7WQmfQRPLehXz5xgi1PxLYs1Jzjo5f8aRCS0wERKRIORHhIBZSjoKgBzd0US2MAqUmQPcv-HWzlg8YKizxy_9snH7qaIzG7SmsyNvYfdhCEdwpwPBfRRvODR9Onx2YAHzcXboDp5DxM5P_rCdsO2MKqbuOsv-fw-Ly7C1v7pZJdmCqAc.TBNTu30br3DEZjtpBye96OYUshcEkLMYAP4-ZM93f9k&amp;dib_tag=se&amp;keywords=15mm%2Bbearing&amp;qid=1785209760&amp;sr=8-3&amp;th=1" TargetMode="External"/><Relationship Id="rId7" Type="http://schemas.openxmlformats.org/officeDocument/2006/relationships/hyperlink" Target="https://www.amazon.com/FFVRVSS-Threaded-Assortment-Printing-Components/dp/B0H1V72B3B?th=1" TargetMode="External"/><Relationship Id="rId12" Type="http://schemas.openxmlformats.org/officeDocument/2006/relationships/hyperlink" Target="https://www.amazon.com/Hexagonal-Wearproof-Intelligent-Robots-Equipment/dp/B09NHQFZZG" TargetMode="External"/><Relationship Id="rId17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25" Type="http://schemas.openxmlformats.org/officeDocument/2006/relationships/hyperlink" Target="https://aifitlab.com/products/steadywin-gim3505-8-planetary-reducer-servo-motor?variant=44388211785864" TargetMode="External"/><Relationship Id="rId2" Type="http://schemas.openxmlformats.org/officeDocument/2006/relationships/hyperlink" Target="https://mjbots.com/products/moteus-r4-11-developer-kit" TargetMode="External"/><Relationship Id="rId16" Type="http://schemas.openxmlformats.org/officeDocument/2006/relationships/hyperlink" Target="https://www.amazon.com/Hanglife-HANGLIFE-Heat-Set-Threaded-Inserts/dp/B0CS6YVJYD?th=1" TargetMode="External"/><Relationship Id="rId20" Type="http://schemas.openxmlformats.org/officeDocument/2006/relationships/hyperlink" Target="https://www.amazon.com/Hexagonal-Wearproof-Intelligent-Robots-Equipment/dp/B09NHQFZZG" TargetMode="External"/><Relationship Id="rId1" Type="http://schemas.openxmlformats.org/officeDocument/2006/relationships/hyperlink" Target="https://mjbots.com/products/moteus-heat-spreader?variant=37322050437281" TargetMode="External"/><Relationship Id="rId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11" Type="http://schemas.openxmlformats.org/officeDocument/2006/relationships/hyperlink" Target="https://www.amazon.com/gp/product/B0GW45XBP2/ref=ox_sc_act_title_1?smid=A2C1Q80HIP80AY&amp;th=1" TargetMode="External"/><Relationship Id="rId24" Type="http://schemas.openxmlformats.org/officeDocument/2006/relationships/hyperlink" Target="http://amazon.com/HARFINGTON-6808-2RS-Bearings-Bearing-Conveyors/dp/B0CGM46PYL/ref=sr_1_4?adgrpid=186430327876&amp;dib=eyJ2IjoiMSJ9.JpyibVH5lM90SLjYJDFa_SGMMuryWenHUdfAWxfT0lDGGlmzPFI1nRtPGM5xki0zvBmtLpCTzmMekSXlPB6xi_DX1G_V-NVIXSfGHtXwDFRrwRoX9XMxSaayWJ8owTony8GIaulqYFzuXAjQgKfWn-SYwmMA5WrldoNPkwGFNb-NEX59iXnd74iUVZhgtowmsm41sNNH192pMH1_2P0mqBG1AKOR9zKl7Da5s_lnv3s.lQXyhJ8bbtA94hMk7g6apokee2omtTFLWrZNwgD_BaY&amp;dib_tag=se&amp;hvadid=779533333833&amp;hvdev=c&amp;hvexpln=0&amp;hvlocphy=1018688&amp;hvnetw=g&amp;hvocijid=9733289178541732856--&amp;hvqmt=e&amp;hvrand=9733289178541732856&amp;hvtargid=kwd-398107881585&amp;hydadcr=3698_13539220_2118464&amp;keywords=40x52x7%2Bbearing&amp;mcid=0daf2757fdc437f8a48c935974184672&amp;qid=1785804520&amp;sr=8-4&amp;th=1" TargetMode="External"/><Relationship Id="rId5" Type="http://schemas.openxmlformats.org/officeDocument/2006/relationships/hyperlink" Target="https://www.amazon.com/uxcell-6902-2RS-Bearing-1180902-Bearings/dp/B07FWC3SJD/ref=sr_1_2?crid=2VVX1V2L1WXDB&amp;dib=eyJ2IjoiMSJ9.xsXtkCl8LTpjMWJw2PDGjoh_5rzi857LVCpEMOZnHxOd4NkXh7UKmucqhmhP-feNiOu9oGzoJMMqURkOOzjGmF3K3Ny6MzOxkT-fZoEy26z1iYXTEim6IggJBsmyUjnj2e1x_r9P9FZQuDcUj3avChKH5sJ0NgwyOFYmLaINVON9rU6DyIDBz4Q7fPgR0f17vwzaz0dP5fuBvszFK5BjA3-SMTPogwQUunxWTAsNZvVdBKk_k6q-lQPjf5bAG7yhg7AQnYE0mda1m9O4EQUqFylXgCkhZz9NIKELS-Zjxn4.sWPjRWsCt7SytaWhaVM1m5eGKIleqWWCto7D3_bGDi0&amp;dib_tag=se&amp;keywords=15x28x8%2Bbearing&amp;qid=1785050415&amp;s=industrial&amp;sprefix=15x28x8%2Bbearing%2Cindustrial%2C93&amp;sr=1-2&amp;th=1" TargetMode="External"/><Relationship Id="rId15" Type="http://schemas.openxmlformats.org/officeDocument/2006/relationships/hyperlink" Target="https://www.amazon.com/FFVRVSS-Threaded-Assortment-Printing-Components/dp/B0H1V72B3B?th=1" TargetMode="External"/><Relationship Id="rId23" Type="http://schemas.openxmlformats.org/officeDocument/2006/relationships/hyperlink" Target="https://www.amazon.com/Fgruh-M2-5-Assortment-Stainless-Assorted/dp/B0FG2BYJSR/ref=sr_1_1_sspa?channelId=500&amp;clpRedir=Y&amp;dib=eyJ2IjoiMSJ9.8mwX8HTSePH_eGIa4dvvETlimR9llRyS9Joc6lO9jFSzgViHB_T6RfTv78Ee6CrxVZOdX7YN4_qojKDqA0_KFd4NUtE_VlYLSBGymVVmu-Jgw_7fVR5SyhBexCbbF_d1tXh7LnVkpyLA4wspwX-imb-gpT88V2kavgaCjHaxhUvq-wXubIjYAsR5Hr7JYm18T3NUaT0WrSmRz6cM9-O1Jm_icDQ53oTzbbJBAssYJdE.yMspX-al7SBrM9ZKrJCe_q_IYDBkcCYUDQizIAwxHaw&amp;dib_tag=se&amp;keywords=m2.5%2Bscrews&amp;plpRedirect=mhFallback&amp;qid=1785739462&amp;sr=8-1-spons&amp;sp_csd=d2lkZ2V0TmFtZT1zcF9hdGY&amp;th=1" TargetMode="External"/><Relationship Id="rId28" Type="http://schemas.openxmlformats.org/officeDocument/2006/relationships/drawing" Target="../drawings/drawing1.xml"/><Relationship Id="rId10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9" Type="http://schemas.openxmlformats.org/officeDocument/2006/relationships/hyperlink" Target="https://www.amazon.com/gp/product/B0GW45XBP2/ref=ox_sc_act_title_1?smid=A2C1Q80HIP80AY&amp;th=1" TargetMode="External"/><Relationship Id="rId4" Type="http://schemas.openxmlformats.org/officeDocument/2006/relationships/hyperlink" Target="https://mjbots.com/products/mj5208?variant=37262679900321" TargetMode="External"/><Relationship Id="rId9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14" Type="http://schemas.openxmlformats.org/officeDocument/2006/relationships/hyperlink" Target="https://aifitlab.com/products/steadywin-gim3505-8-planetary-reducer-servo-motor?variant=44388211785864" TargetMode="External"/><Relationship Id="rId22" Type="http://schemas.openxmlformats.org/officeDocument/2006/relationships/hyperlink" Target="https://www.amazon.com/MECCANIXITY-Stainless-Hydraulic-Injection-Industries/dp/B0FDQW5GKG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tabSelected="1" zoomScaleNormal="100" workbookViewId="0">
      <selection activeCell="B5" sqref="B5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90" t="s">
        <v>2</v>
      </c>
      <c r="B4" s="90"/>
      <c r="C4" s="90"/>
      <c r="D4" s="90"/>
      <c r="E4" s="90"/>
      <c r="F4" s="90"/>
      <c r="G4" s="90"/>
      <c r="H4" s="90"/>
      <c r="I4" s="90"/>
    </row>
    <row r="5" spans="1:9" x14ac:dyDescent="0.25">
      <c r="A5" s="3" t="s">
        <v>3</v>
      </c>
      <c r="B5" s="4">
        <v>0.25</v>
      </c>
      <c r="C5" s="3" t="s">
        <v>4</v>
      </c>
    </row>
    <row r="6" spans="1:9" x14ac:dyDescent="0.25">
      <c r="A6" s="3" t="s">
        <v>5</v>
      </c>
      <c r="B6" s="4">
        <v>7.0000000000000007E-2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90" t="s">
        <v>12</v>
      </c>
      <c r="B11" s="90"/>
      <c r="C11" s="90"/>
      <c r="D11" s="90"/>
      <c r="E11" s="90"/>
      <c r="F11" s="90"/>
      <c r="G11" s="90"/>
      <c r="H11" s="90"/>
      <c r="I11" s="90"/>
    </row>
    <row r="12" spans="1:9" x14ac:dyDescent="0.25">
      <c r="A12" s="3" t="s">
        <v>13</v>
      </c>
      <c r="B12" s="4">
        <v>0.9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90" t="s">
        <v>27</v>
      </c>
      <c r="B20" s="90"/>
      <c r="C20" s="90"/>
      <c r="D20" s="90"/>
      <c r="E20" s="90"/>
      <c r="F20" s="90"/>
      <c r="G20" s="90"/>
      <c r="H20" s="90"/>
      <c r="I20" s="90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90" t="s">
        <v>32</v>
      </c>
      <c r="B24" s="90"/>
      <c r="C24" s="90"/>
      <c r="D24" s="90"/>
      <c r="E24" s="90"/>
      <c r="F24" s="90"/>
      <c r="G24" s="90"/>
      <c r="H24" s="90"/>
      <c r="I24" s="90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0.65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64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8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90" t="s">
        <v>56</v>
      </c>
      <c r="B36" s="90"/>
      <c r="C36" s="90"/>
      <c r="D36" s="90"/>
      <c r="E36" s="90"/>
      <c r="F36" s="90"/>
      <c r="G36" s="90"/>
      <c r="H36" s="90"/>
      <c r="I36" s="90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0.125</v>
      </c>
      <c r="E38" s="15" t="s">
        <v>64</v>
      </c>
      <c r="F38" s="16">
        <f t="shared" ref="F38:F44" si="0">B38*$B$21*D38</f>
        <v>7.3575000000000002E-2</v>
      </c>
      <c r="G38" s="16">
        <v>0</v>
      </c>
    </row>
    <row r="39" spans="1:9" x14ac:dyDescent="0.25">
      <c r="A39" s="13" t="s">
        <v>65</v>
      </c>
      <c r="B39" s="14">
        <f>B12</f>
        <v>0.9</v>
      </c>
      <c r="D39" s="14">
        <f>B5</f>
        <v>0.25</v>
      </c>
      <c r="E39" s="15" t="s">
        <v>64</v>
      </c>
      <c r="F39" s="16">
        <f>B39*$B$21*D39</f>
        <v>2.2072500000000002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0.28000000000000003</v>
      </c>
      <c r="E40" s="14">
        <f>B8</f>
        <v>0.03</v>
      </c>
      <c r="F40" s="16">
        <f t="shared" si="0"/>
        <v>0.32961600000000002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0.28500000000000003</v>
      </c>
      <c r="E41" s="14">
        <f>B6/2</f>
        <v>3.5000000000000003E-2</v>
      </c>
      <c r="F41" s="16">
        <f t="shared" si="0"/>
        <v>0.16775100000000001</v>
      </c>
      <c r="G41" s="16">
        <f>B41*$B$21*E41</f>
        <v>2.0601000000000001E-2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7.0000000000000007E-2</v>
      </c>
      <c r="F42" s="16">
        <f t="shared" si="0"/>
        <v>0.69062400000000013</v>
      </c>
      <c r="G42" s="16">
        <f>B42*$B$21*E42</f>
        <v>0.15107400000000004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0.11000000000000001</v>
      </c>
      <c r="F43" s="16">
        <f t="shared" si="0"/>
        <v>0.52973999999999999</v>
      </c>
      <c r="G43" s="16">
        <f>B43*$B$21*E43</f>
        <v>0.16186500000000004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0.15000000000000002</v>
      </c>
      <c r="F44" s="16">
        <f t="shared" si="0"/>
        <v>0.78480000000000016</v>
      </c>
      <c r="G44" s="16">
        <f>B44*$B$21*E44</f>
        <v>0.29430000000000006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4.7833560000000004</v>
      </c>
      <c r="G45" s="19">
        <f>SUM(G38:G44)</f>
        <v>0.66315600000000008</v>
      </c>
    </row>
    <row r="47" spans="1:9" x14ac:dyDescent="0.25">
      <c r="A47" s="90" t="s">
        <v>72</v>
      </c>
      <c r="B47" s="90"/>
      <c r="C47" s="90"/>
      <c r="D47" s="90"/>
      <c r="E47" s="90"/>
      <c r="F47" s="90"/>
      <c r="G47" s="90"/>
      <c r="H47" s="90"/>
      <c r="I47" s="90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90" t="s">
        <v>77</v>
      </c>
      <c r="B52" s="90"/>
      <c r="C52" s="90"/>
      <c r="D52" s="90"/>
      <c r="E52" s="90"/>
      <c r="F52" s="90"/>
      <c r="G52" s="90"/>
      <c r="H52" s="90"/>
      <c r="I52" s="90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2.9250000000000003</v>
      </c>
      <c r="F54" s="16">
        <f t="shared" ref="F54:F59" si="2">E54/C54</f>
        <v>3.9000000000000004</v>
      </c>
      <c r="G54" s="25" t="str">
        <f t="shared" ref="G54:G59" si="3">IF(F54&gt;=1,"PASS",IF(F54&gt;=0.85,"MARGINAL","UNDERSIZED"))</f>
        <v>PASS</v>
      </c>
      <c r="H54" s="26">
        <f>B26*B29*B28</f>
        <v>16.574999999999999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4.7833560000000004</v>
      </c>
      <c r="C55" s="16">
        <f t="shared" si="1"/>
        <v>7.1750340000000001</v>
      </c>
      <c r="D55" s="24">
        <f>B30</f>
        <v>30</v>
      </c>
      <c r="E55" s="16">
        <f>B25*B30*B28</f>
        <v>5.8500000000000005</v>
      </c>
      <c r="F55" s="16">
        <f t="shared" si="2"/>
        <v>0.81532714688181274</v>
      </c>
      <c r="G55" s="25" t="str">
        <f t="shared" si="3"/>
        <v>UNDERSIZED</v>
      </c>
      <c r="H55" s="26">
        <f>B26*B30*B28</f>
        <v>33.15</v>
      </c>
      <c r="I55" s="24">
        <f>B27/B30*6</f>
        <v>48</v>
      </c>
    </row>
    <row r="56" spans="1:9" x14ac:dyDescent="0.25">
      <c r="A56" s="13" t="s">
        <v>89</v>
      </c>
      <c r="B56" s="16">
        <f>G45</f>
        <v>0.66315600000000008</v>
      </c>
      <c r="C56" s="16">
        <f t="shared" si="1"/>
        <v>0.99473400000000012</v>
      </c>
      <c r="D56" s="24">
        <f>B31</f>
        <v>15</v>
      </c>
      <c r="E56" s="16">
        <f>B25*B31*B28</f>
        <v>2.9250000000000003</v>
      </c>
      <c r="F56" s="16">
        <f t="shared" si="2"/>
        <v>2.9404845918607387</v>
      </c>
      <c r="G56" s="25" t="str">
        <f t="shared" si="3"/>
        <v>PASS</v>
      </c>
      <c r="H56" s="26">
        <f>B26*B31*B28</f>
        <v>16.574999999999999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8</v>
      </c>
      <c r="E57" s="16">
        <f>B32*B33*B34</f>
        <v>1.36</v>
      </c>
      <c r="F57" s="16">
        <f t="shared" si="2"/>
        <v>4.2010317239675041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8</v>
      </c>
      <c r="E58" s="16">
        <f>B32*B33*B34</f>
        <v>1.36</v>
      </c>
      <c r="F58" s="16">
        <f t="shared" si="2"/>
        <v>4.2010317239675041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8</v>
      </c>
      <c r="E59" s="16">
        <f>B32*B33*B34</f>
        <v>1.36</v>
      </c>
      <c r="F59" s="16">
        <f t="shared" si="2"/>
        <v>6.0444444444444452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D36" sqref="D36"/>
    </sheetView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Q90"/>
  <sheetViews>
    <sheetView topLeftCell="A48" zoomScale="90" zoomScaleNormal="90" workbookViewId="0">
      <selection activeCell="K78" sqref="K78"/>
    </sheetView>
  </sheetViews>
  <sheetFormatPr defaultRowHeight="15" x14ac:dyDescent="0.25"/>
  <cols>
    <col min="1" max="1" width="6.140625" bestFit="1" customWidth="1"/>
    <col min="2" max="2" width="10.5703125" bestFit="1" customWidth="1"/>
    <col min="3" max="3" width="59.7109375" bestFit="1" customWidth="1"/>
    <col min="4" max="4" width="4.140625" bestFit="1" customWidth="1"/>
    <col min="5" max="5" width="13.28515625" bestFit="1" customWidth="1"/>
    <col min="6" max="6" width="66.140625" bestFit="1" customWidth="1"/>
    <col min="7" max="7" width="10.5703125" bestFit="1" customWidth="1"/>
    <col min="8" max="8" width="22" bestFit="1" customWidth="1"/>
    <col min="9" max="9" width="17.7109375" bestFit="1" customWidth="1"/>
    <col min="10" max="10" width="15.140625" bestFit="1" customWidth="1"/>
    <col min="11" max="11" width="13.7109375" bestFit="1" customWidth="1"/>
    <col min="12" max="12" width="10.140625" bestFit="1" customWidth="1"/>
  </cols>
  <sheetData>
    <row r="1" spans="1:16" x14ac:dyDescent="0.25">
      <c r="A1" s="44" t="s">
        <v>102</v>
      </c>
      <c r="B1" s="44" t="s">
        <v>170</v>
      </c>
      <c r="C1" s="44" t="s">
        <v>169</v>
      </c>
      <c r="D1" s="44" t="s">
        <v>168</v>
      </c>
      <c r="E1" s="44" t="s">
        <v>177</v>
      </c>
      <c r="F1" s="44" t="s">
        <v>230</v>
      </c>
      <c r="G1" s="44" t="s">
        <v>174</v>
      </c>
      <c r="H1" s="44" t="s">
        <v>178</v>
      </c>
      <c r="I1" s="44" t="s">
        <v>254</v>
      </c>
      <c r="J1" s="49" t="s">
        <v>253</v>
      </c>
      <c r="K1" s="49" t="s">
        <v>250</v>
      </c>
    </row>
    <row r="2" spans="1:16" x14ac:dyDescent="0.25">
      <c r="A2" s="42" t="s">
        <v>108</v>
      </c>
      <c r="B2" s="42">
        <v>1</v>
      </c>
      <c r="C2" s="43" t="s">
        <v>208</v>
      </c>
      <c r="D2" s="42">
        <v>1</v>
      </c>
      <c r="E2" s="41"/>
      <c r="F2" s="52" t="s">
        <v>285</v>
      </c>
      <c r="G2" s="42"/>
      <c r="H2" s="42"/>
      <c r="I2" s="42"/>
      <c r="J2" s="41"/>
      <c r="K2" s="41">
        <f>K3+K11+K41</f>
        <v>1333.81</v>
      </c>
    </row>
    <row r="3" spans="1:16" x14ac:dyDescent="0.25">
      <c r="A3" s="36" t="s">
        <v>207</v>
      </c>
      <c r="B3" s="36">
        <v>2</v>
      </c>
      <c r="C3" s="37" t="s">
        <v>206</v>
      </c>
      <c r="D3" s="36"/>
      <c r="E3" s="35"/>
      <c r="F3" s="36"/>
      <c r="G3" s="36"/>
      <c r="H3" s="40"/>
      <c r="I3" s="36"/>
      <c r="J3" s="35"/>
      <c r="K3" s="35">
        <f>SUM(K4:K10)+SUM(J4:J10)</f>
        <v>1094.8399999999999</v>
      </c>
    </row>
    <row r="4" spans="1:16" x14ac:dyDescent="0.25">
      <c r="A4" s="33" t="s">
        <v>205</v>
      </c>
      <c r="B4" s="33">
        <v>3</v>
      </c>
      <c r="C4" s="34" t="s">
        <v>173</v>
      </c>
      <c r="D4" s="33">
        <v>2</v>
      </c>
      <c r="E4" s="32">
        <v>74</v>
      </c>
      <c r="F4" s="33" t="s">
        <v>204</v>
      </c>
      <c r="G4" s="38" t="s">
        <v>176</v>
      </c>
      <c r="H4" s="39">
        <v>46237</v>
      </c>
      <c r="I4" s="60" t="s">
        <v>316</v>
      </c>
      <c r="J4" s="32">
        <v>2.4424999999999999</v>
      </c>
      <c r="K4" s="32">
        <f>D4*E4</f>
        <v>148</v>
      </c>
    </row>
    <row r="5" spans="1:16" x14ac:dyDescent="0.25">
      <c r="A5" s="33" t="s">
        <v>203</v>
      </c>
      <c r="B5" s="33">
        <v>3</v>
      </c>
      <c r="C5" s="34" t="s">
        <v>172</v>
      </c>
      <c r="D5" s="33">
        <v>2</v>
      </c>
      <c r="E5" s="32">
        <v>94</v>
      </c>
      <c r="F5" s="33" t="s">
        <v>202</v>
      </c>
      <c r="G5" s="38" t="s">
        <v>176</v>
      </c>
      <c r="H5" s="39">
        <v>46237</v>
      </c>
      <c r="I5" s="60" t="s">
        <v>316</v>
      </c>
      <c r="J5" s="32">
        <v>2.4424999999999999</v>
      </c>
      <c r="K5" s="32">
        <f>D5*E5</f>
        <v>188</v>
      </c>
    </row>
    <row r="6" spans="1:16" x14ac:dyDescent="0.25">
      <c r="A6" s="33" t="s">
        <v>201</v>
      </c>
      <c r="B6" s="33">
        <v>3</v>
      </c>
      <c r="C6" s="34" t="s">
        <v>175</v>
      </c>
      <c r="D6" s="33">
        <v>1</v>
      </c>
      <c r="E6" s="32">
        <v>219</v>
      </c>
      <c r="F6" s="33" t="s">
        <v>200</v>
      </c>
      <c r="G6" s="38" t="s">
        <v>176</v>
      </c>
      <c r="H6" s="39">
        <v>46213</v>
      </c>
      <c r="I6" s="60" t="s">
        <v>315</v>
      </c>
      <c r="J6" s="32">
        <v>2.4424999999999999</v>
      </c>
      <c r="K6" s="32">
        <f>D6*E6</f>
        <v>219</v>
      </c>
    </row>
    <row r="7" spans="1:16" ht="30" x14ac:dyDescent="0.25">
      <c r="A7" s="33" t="s">
        <v>199</v>
      </c>
      <c r="B7" s="33">
        <v>3</v>
      </c>
      <c r="C7" s="34" t="s">
        <v>171</v>
      </c>
      <c r="D7" s="33">
        <v>3</v>
      </c>
      <c r="E7" s="32">
        <v>29</v>
      </c>
      <c r="F7" s="33" t="s">
        <v>198</v>
      </c>
      <c r="G7" s="38" t="s">
        <v>176</v>
      </c>
      <c r="H7" s="61" t="s">
        <v>314</v>
      </c>
      <c r="I7" s="62" t="s">
        <v>317</v>
      </c>
      <c r="J7" s="32">
        <v>11.07</v>
      </c>
      <c r="K7" s="32">
        <f>D7*E7</f>
        <v>87</v>
      </c>
    </row>
    <row r="8" spans="1:16" x14ac:dyDescent="0.25">
      <c r="A8" s="33"/>
      <c r="B8" s="33"/>
      <c r="C8" s="34"/>
      <c r="D8" s="33"/>
      <c r="E8" s="32"/>
      <c r="F8" s="33"/>
      <c r="G8" s="38"/>
      <c r="H8" s="39"/>
      <c r="I8" s="33"/>
      <c r="J8" s="32"/>
      <c r="K8" s="32"/>
    </row>
    <row r="9" spans="1:16" x14ac:dyDescent="0.25">
      <c r="A9" s="33" t="s">
        <v>197</v>
      </c>
      <c r="B9" s="33">
        <v>3</v>
      </c>
      <c r="C9" s="34" t="s">
        <v>183</v>
      </c>
      <c r="D9" s="33">
        <v>3</v>
      </c>
      <c r="E9" s="32">
        <v>65</v>
      </c>
      <c r="F9" s="33" t="s">
        <v>320</v>
      </c>
      <c r="G9" s="46" t="s">
        <v>176</v>
      </c>
      <c r="H9" s="39">
        <v>46213</v>
      </c>
      <c r="I9" s="60" t="s">
        <v>313</v>
      </c>
      <c r="J9" s="51">
        <v>30</v>
      </c>
      <c r="K9" s="32">
        <f>D9*E9</f>
        <v>195</v>
      </c>
    </row>
    <row r="10" spans="1:16" x14ac:dyDescent="0.25">
      <c r="A10" s="33" t="s">
        <v>256</v>
      </c>
      <c r="B10" s="33">
        <v>3</v>
      </c>
      <c r="C10" s="34" t="s">
        <v>181</v>
      </c>
      <c r="D10" s="33">
        <v>3</v>
      </c>
      <c r="E10" s="32">
        <v>69</v>
      </c>
      <c r="F10" s="33" t="s">
        <v>180</v>
      </c>
      <c r="G10" s="38" t="s">
        <v>176</v>
      </c>
      <c r="H10" s="39">
        <v>46237</v>
      </c>
      <c r="I10" s="60" t="s">
        <v>313</v>
      </c>
      <c r="J10" s="32">
        <v>2.4424999999999999</v>
      </c>
      <c r="K10" s="32">
        <f>D10*E10</f>
        <v>207</v>
      </c>
      <c r="P10" s="65" t="s">
        <v>319</v>
      </c>
    </row>
    <row r="11" spans="1:16" x14ac:dyDescent="0.25">
      <c r="A11" s="36" t="s">
        <v>196</v>
      </c>
      <c r="B11" s="36">
        <v>2</v>
      </c>
      <c r="C11" s="37" t="s">
        <v>195</v>
      </c>
      <c r="D11" s="36">
        <v>1</v>
      </c>
      <c r="E11" s="35" t="s">
        <v>235</v>
      </c>
      <c r="F11" s="36"/>
      <c r="G11" s="36"/>
      <c r="H11" s="36"/>
      <c r="I11" s="36"/>
      <c r="J11" s="35"/>
      <c r="K11" s="35">
        <f>SUM(K12:K40)+SUM(J12:J40)</f>
        <v>135.47999999999999</v>
      </c>
    </row>
    <row r="12" spans="1:16" x14ac:dyDescent="0.25">
      <c r="A12" s="33" t="s">
        <v>194</v>
      </c>
      <c r="B12" s="33">
        <v>3</v>
      </c>
      <c r="C12" s="34" t="s">
        <v>210</v>
      </c>
      <c r="D12" s="33">
        <v>39</v>
      </c>
      <c r="E12" s="32">
        <v>7.21</v>
      </c>
      <c r="F12" s="33" t="s">
        <v>240</v>
      </c>
      <c r="G12" s="45" t="s">
        <v>176</v>
      </c>
      <c r="H12" s="39">
        <v>46230</v>
      </c>
      <c r="I12" s="33">
        <v>1</v>
      </c>
      <c r="J12" s="66">
        <v>7.68</v>
      </c>
      <c r="K12" s="32">
        <f>I12*E12</f>
        <v>7.21</v>
      </c>
    </row>
    <row r="13" spans="1:16" x14ac:dyDescent="0.25">
      <c r="A13" s="54"/>
      <c r="B13" s="54"/>
      <c r="C13" s="55"/>
      <c r="D13" s="54"/>
      <c r="E13" s="56"/>
      <c r="F13" s="54"/>
      <c r="G13" s="54"/>
      <c r="H13" s="58"/>
      <c r="I13" s="54"/>
      <c r="J13" s="88"/>
      <c r="K13" s="56"/>
    </row>
    <row r="14" spans="1:16" x14ac:dyDescent="0.25">
      <c r="A14" s="33" t="s">
        <v>193</v>
      </c>
      <c r="B14" s="33">
        <v>3</v>
      </c>
      <c r="C14" s="34" t="s">
        <v>211</v>
      </c>
      <c r="D14" s="33">
        <v>78</v>
      </c>
      <c r="E14" s="32">
        <v>12.99</v>
      </c>
      <c r="F14" s="33" t="s">
        <v>239</v>
      </c>
      <c r="G14" s="46" t="s">
        <v>176</v>
      </c>
      <c r="H14" s="39">
        <v>46230</v>
      </c>
      <c r="I14" s="33">
        <v>3</v>
      </c>
      <c r="J14" s="89"/>
      <c r="K14" s="32">
        <f>I14*E14</f>
        <v>38.97</v>
      </c>
    </row>
    <row r="15" spans="1:16" x14ac:dyDescent="0.25">
      <c r="A15" s="33" t="s">
        <v>192</v>
      </c>
      <c r="B15" s="33">
        <v>3</v>
      </c>
      <c r="C15" s="34" t="s">
        <v>212</v>
      </c>
      <c r="D15" s="33">
        <v>4</v>
      </c>
      <c r="E15" s="32">
        <v>9.99</v>
      </c>
      <c r="F15" s="33" t="s">
        <v>238</v>
      </c>
      <c r="G15" s="46" t="s">
        <v>176</v>
      </c>
      <c r="H15" s="39">
        <v>46230</v>
      </c>
      <c r="I15" s="33">
        <v>1</v>
      </c>
      <c r="J15" s="89"/>
      <c r="K15" s="32">
        <f t="shared" ref="K15:K25" si="0">I15*E15</f>
        <v>9.99</v>
      </c>
    </row>
    <row r="16" spans="1:16" x14ac:dyDescent="0.25">
      <c r="A16" s="33" t="s">
        <v>191</v>
      </c>
      <c r="B16" s="33">
        <v>3</v>
      </c>
      <c r="C16" s="34" t="s">
        <v>213</v>
      </c>
      <c r="D16" s="33">
        <v>2</v>
      </c>
      <c r="E16" s="32">
        <v>9.7899999999999991</v>
      </c>
      <c r="F16" s="33" t="s">
        <v>237</v>
      </c>
      <c r="G16" s="46" t="s">
        <v>176</v>
      </c>
      <c r="H16" s="39">
        <v>46230</v>
      </c>
      <c r="I16" s="33">
        <v>1</v>
      </c>
      <c r="J16" s="89"/>
      <c r="K16" s="32">
        <f t="shared" si="0"/>
        <v>9.7899999999999991</v>
      </c>
    </row>
    <row r="17" spans="1:11" x14ac:dyDescent="0.25">
      <c r="A17" s="54"/>
      <c r="B17" s="54"/>
      <c r="C17" s="55"/>
      <c r="D17" s="54"/>
      <c r="E17" s="56"/>
      <c r="F17" s="54"/>
      <c r="G17" s="54"/>
      <c r="H17" s="54"/>
      <c r="I17" s="54"/>
      <c r="J17" s="88"/>
      <c r="K17" s="56"/>
    </row>
    <row r="18" spans="1:11" x14ac:dyDescent="0.25">
      <c r="A18" s="33" t="s">
        <v>190</v>
      </c>
      <c r="B18" s="33">
        <v>3</v>
      </c>
      <c r="C18" s="34" t="s">
        <v>215</v>
      </c>
      <c r="D18" s="33">
        <v>17</v>
      </c>
      <c r="E18" s="32">
        <v>6.99</v>
      </c>
      <c r="F18" s="33" t="s">
        <v>236</v>
      </c>
      <c r="G18" s="46" t="s">
        <v>176</v>
      </c>
      <c r="H18" s="39">
        <v>46230</v>
      </c>
      <c r="I18" s="33">
        <v>1</v>
      </c>
      <c r="J18" s="89"/>
      <c r="K18" s="32">
        <f t="shared" si="0"/>
        <v>6.99</v>
      </c>
    </row>
    <row r="19" spans="1:11" x14ac:dyDescent="0.25">
      <c r="A19" s="33" t="s">
        <v>189</v>
      </c>
      <c r="B19" s="33">
        <v>3</v>
      </c>
      <c r="C19" s="34" t="s">
        <v>216</v>
      </c>
      <c r="D19" s="33">
        <v>5</v>
      </c>
      <c r="E19" s="32">
        <v>8.99</v>
      </c>
      <c r="F19" s="33" t="s">
        <v>241</v>
      </c>
      <c r="G19" s="46" t="s">
        <v>176</v>
      </c>
      <c r="H19" s="39">
        <v>46230</v>
      </c>
      <c r="I19" s="33">
        <v>1</v>
      </c>
      <c r="J19" s="89"/>
      <c r="K19" s="32">
        <f t="shared" si="0"/>
        <v>8.99</v>
      </c>
    </row>
    <row r="20" spans="1:11" x14ac:dyDescent="0.25">
      <c r="A20" s="54"/>
      <c r="B20" s="54"/>
      <c r="C20" s="55"/>
      <c r="D20" s="54"/>
      <c r="E20" s="56"/>
      <c r="F20" s="54"/>
      <c r="G20" s="54"/>
      <c r="H20" s="54"/>
      <c r="I20" s="54"/>
      <c r="J20" s="88"/>
      <c r="K20" s="56"/>
    </row>
    <row r="21" spans="1:11" x14ac:dyDescent="0.25">
      <c r="A21" s="47" t="s">
        <v>188</v>
      </c>
      <c r="B21" s="33">
        <v>3</v>
      </c>
      <c r="C21" s="34" t="s">
        <v>214</v>
      </c>
      <c r="D21" s="33">
        <v>8</v>
      </c>
      <c r="E21" s="32">
        <v>7.79</v>
      </c>
      <c r="F21" s="33" t="s">
        <v>242</v>
      </c>
      <c r="G21" s="46" t="s">
        <v>176</v>
      </c>
      <c r="H21" s="39">
        <v>46230</v>
      </c>
      <c r="I21" s="33">
        <v>2</v>
      </c>
      <c r="J21" s="89"/>
      <c r="K21" s="32">
        <f t="shared" si="0"/>
        <v>15.58</v>
      </c>
    </row>
    <row r="22" spans="1:11" x14ac:dyDescent="0.25">
      <c r="A22" s="47" t="s">
        <v>187</v>
      </c>
      <c r="B22" s="33">
        <v>3</v>
      </c>
      <c r="C22" s="34" t="s">
        <v>217</v>
      </c>
      <c r="D22" s="33">
        <v>9</v>
      </c>
      <c r="E22" s="66">
        <v>22.99</v>
      </c>
      <c r="F22" s="47" t="s">
        <v>247</v>
      </c>
      <c r="G22" s="82" t="s">
        <v>176</v>
      </c>
      <c r="H22" s="84">
        <v>46230</v>
      </c>
      <c r="I22" s="86">
        <v>1</v>
      </c>
      <c r="J22" s="89"/>
      <c r="K22" s="66">
        <f t="shared" si="0"/>
        <v>22.99</v>
      </c>
    </row>
    <row r="23" spans="1:11" x14ac:dyDescent="0.25">
      <c r="A23" s="47" t="s">
        <v>186</v>
      </c>
      <c r="B23" s="33">
        <v>3</v>
      </c>
      <c r="C23" s="34" t="s">
        <v>221</v>
      </c>
      <c r="D23" s="33">
        <v>7</v>
      </c>
      <c r="E23" s="67"/>
      <c r="F23" s="47" t="s">
        <v>255</v>
      </c>
      <c r="G23" s="83"/>
      <c r="H23" s="85"/>
      <c r="I23" s="87"/>
      <c r="J23" s="89"/>
      <c r="K23" s="67"/>
    </row>
    <row r="24" spans="1:11" x14ac:dyDescent="0.25">
      <c r="A24" s="47" t="s">
        <v>185</v>
      </c>
      <c r="B24" s="33">
        <v>3</v>
      </c>
      <c r="C24" s="34" t="s">
        <v>243</v>
      </c>
      <c r="D24" s="33">
        <v>4</v>
      </c>
      <c r="E24" s="32"/>
      <c r="F24" s="47" t="s">
        <v>249</v>
      </c>
      <c r="G24" s="33"/>
      <c r="H24" s="47" t="s">
        <v>248</v>
      </c>
      <c r="I24" s="33"/>
      <c r="J24" s="89"/>
      <c r="K24" s="32"/>
    </row>
    <row r="25" spans="1:11" x14ac:dyDescent="0.25">
      <c r="A25" s="47" t="s">
        <v>218</v>
      </c>
      <c r="B25" s="33">
        <v>3</v>
      </c>
      <c r="C25" s="50" t="s">
        <v>251</v>
      </c>
      <c r="D25" s="33">
        <v>1</v>
      </c>
      <c r="E25" s="32">
        <v>7.29</v>
      </c>
      <c r="F25" s="47" t="s">
        <v>252</v>
      </c>
      <c r="G25" s="46" t="s">
        <v>176</v>
      </c>
      <c r="H25" s="39">
        <v>46230</v>
      </c>
      <c r="I25" s="33">
        <v>1</v>
      </c>
      <c r="J25" s="89"/>
      <c r="K25" s="32">
        <f t="shared" si="0"/>
        <v>7.29</v>
      </c>
    </row>
    <row r="26" spans="1:11" x14ac:dyDescent="0.25">
      <c r="A26" s="47" t="s">
        <v>219</v>
      </c>
      <c r="B26" s="33">
        <v>3</v>
      </c>
      <c r="C26" s="34" t="s">
        <v>234</v>
      </c>
      <c r="D26" s="33">
        <v>1</v>
      </c>
      <c r="E26" s="32">
        <v>21.45</v>
      </c>
      <c r="F26" s="47" t="s">
        <v>246</v>
      </c>
      <c r="G26" s="46" t="s">
        <v>176</v>
      </c>
      <c r="H26" s="47" t="s">
        <v>248</v>
      </c>
      <c r="I26" s="33"/>
      <c r="J26" s="67"/>
      <c r="K26" s="32"/>
    </row>
    <row r="27" spans="1:11" x14ac:dyDescent="0.25">
      <c r="A27" s="54"/>
      <c r="B27" s="54"/>
      <c r="C27" s="55"/>
      <c r="D27" s="54"/>
      <c r="E27" s="56"/>
      <c r="F27" s="57"/>
      <c r="G27" s="54"/>
      <c r="H27" s="54"/>
      <c r="I27" s="54"/>
      <c r="J27" s="56"/>
      <c r="K27" s="56"/>
    </row>
    <row r="28" spans="1:11" x14ac:dyDescent="0.25">
      <c r="A28" s="33" t="s">
        <v>220</v>
      </c>
      <c r="B28" s="33">
        <v>3</v>
      </c>
      <c r="C28" s="50" t="s">
        <v>261</v>
      </c>
      <c r="D28" s="33">
        <v>1</v>
      </c>
      <c r="E28" s="32"/>
      <c r="F28" s="68" t="s">
        <v>233</v>
      </c>
      <c r="G28" s="69"/>
      <c r="H28" s="69"/>
      <c r="I28" s="69"/>
      <c r="J28" s="69"/>
      <c r="K28" s="70"/>
    </row>
    <row r="29" spans="1:11" x14ac:dyDescent="0.25">
      <c r="A29" s="33" t="s">
        <v>222</v>
      </c>
      <c r="B29" s="33">
        <v>3</v>
      </c>
      <c r="C29" s="50" t="s">
        <v>262</v>
      </c>
      <c r="D29" s="33">
        <v>1</v>
      </c>
      <c r="E29" s="32"/>
      <c r="F29" s="71"/>
      <c r="G29" s="72"/>
      <c r="H29" s="72"/>
      <c r="I29" s="72"/>
      <c r="J29" s="72"/>
      <c r="K29" s="73"/>
    </row>
    <row r="30" spans="1:11" x14ac:dyDescent="0.25">
      <c r="A30" s="33" t="s">
        <v>223</v>
      </c>
      <c r="B30" s="33">
        <v>3</v>
      </c>
      <c r="C30" s="50" t="s">
        <v>263</v>
      </c>
      <c r="D30" s="33">
        <v>78</v>
      </c>
      <c r="E30" s="32"/>
      <c r="F30" s="71"/>
      <c r="G30" s="72"/>
      <c r="H30" s="72"/>
      <c r="I30" s="72"/>
      <c r="J30" s="72"/>
      <c r="K30" s="73"/>
    </row>
    <row r="31" spans="1:11" x14ac:dyDescent="0.25">
      <c r="A31" s="33" t="s">
        <v>224</v>
      </c>
      <c r="B31" s="33">
        <v>3</v>
      </c>
      <c r="C31" s="50" t="s">
        <v>264</v>
      </c>
      <c r="D31" s="33">
        <v>39</v>
      </c>
      <c r="E31" s="32"/>
      <c r="F31" s="71"/>
      <c r="G31" s="72"/>
      <c r="H31" s="72"/>
      <c r="I31" s="72"/>
      <c r="J31" s="72"/>
      <c r="K31" s="73"/>
    </row>
    <row r="32" spans="1:11" x14ac:dyDescent="0.25">
      <c r="A32" s="33" t="s">
        <v>225</v>
      </c>
      <c r="B32" s="33">
        <v>3</v>
      </c>
      <c r="C32" s="50" t="s">
        <v>265</v>
      </c>
      <c r="D32" s="33">
        <v>2</v>
      </c>
      <c r="E32" s="32"/>
      <c r="F32" s="71"/>
      <c r="G32" s="72"/>
      <c r="H32" s="72"/>
      <c r="I32" s="72"/>
      <c r="J32" s="72"/>
      <c r="K32" s="73"/>
    </row>
    <row r="33" spans="1:17" x14ac:dyDescent="0.25">
      <c r="A33" s="33" t="s">
        <v>226</v>
      </c>
      <c r="B33" s="33">
        <v>3</v>
      </c>
      <c r="C33" s="50" t="s">
        <v>266</v>
      </c>
      <c r="D33" s="33">
        <v>2</v>
      </c>
      <c r="E33" s="32"/>
      <c r="F33" s="71"/>
      <c r="G33" s="72"/>
      <c r="H33" s="72"/>
      <c r="I33" s="72"/>
      <c r="J33" s="72"/>
      <c r="K33" s="73"/>
    </row>
    <row r="34" spans="1:17" x14ac:dyDescent="0.25">
      <c r="A34" s="33" t="s">
        <v>227</v>
      </c>
      <c r="B34" s="33">
        <v>3</v>
      </c>
      <c r="C34" s="50" t="s">
        <v>267</v>
      </c>
      <c r="D34" s="33">
        <v>1</v>
      </c>
      <c r="E34" s="32"/>
      <c r="F34" s="71"/>
      <c r="G34" s="72"/>
      <c r="H34" s="72"/>
      <c r="I34" s="72"/>
      <c r="J34" s="72"/>
      <c r="K34" s="73"/>
    </row>
    <row r="35" spans="1:17" x14ac:dyDescent="0.25">
      <c r="A35" s="33" t="s">
        <v>228</v>
      </c>
      <c r="B35" s="33">
        <v>3</v>
      </c>
      <c r="C35" s="50" t="s">
        <v>268</v>
      </c>
      <c r="D35" s="33">
        <v>1</v>
      </c>
      <c r="E35" s="32"/>
      <c r="F35" s="71"/>
      <c r="G35" s="72"/>
      <c r="H35" s="72"/>
      <c r="I35" s="72"/>
      <c r="J35" s="72"/>
      <c r="K35" s="73"/>
    </row>
    <row r="36" spans="1:17" x14ac:dyDescent="0.25">
      <c r="A36" s="33" t="s">
        <v>229</v>
      </c>
      <c r="B36" s="33">
        <v>3</v>
      </c>
      <c r="C36" s="50" t="s">
        <v>269</v>
      </c>
      <c r="D36" s="33">
        <v>1</v>
      </c>
      <c r="E36" s="32"/>
      <c r="F36" s="71"/>
      <c r="G36" s="72"/>
      <c r="H36" s="72"/>
      <c r="I36" s="72"/>
      <c r="J36" s="72"/>
      <c r="K36" s="73"/>
    </row>
    <row r="37" spans="1:17" x14ac:dyDescent="0.25">
      <c r="A37" s="33" t="s">
        <v>231</v>
      </c>
      <c r="B37" s="33">
        <v>3</v>
      </c>
      <c r="C37" s="50" t="s">
        <v>270</v>
      </c>
      <c r="D37" s="33">
        <v>1</v>
      </c>
      <c r="E37" s="32"/>
      <c r="F37" s="71"/>
      <c r="G37" s="72"/>
      <c r="H37" s="72"/>
      <c r="I37" s="72"/>
      <c r="J37" s="72"/>
      <c r="K37" s="73"/>
      <c r="Q37" s="48"/>
    </row>
    <row r="38" spans="1:17" x14ac:dyDescent="0.25">
      <c r="A38" s="33" t="s">
        <v>232</v>
      </c>
      <c r="B38" s="33">
        <v>3</v>
      </c>
      <c r="C38" s="50" t="s">
        <v>271</v>
      </c>
      <c r="D38" s="33">
        <v>1</v>
      </c>
      <c r="E38" s="32"/>
      <c r="F38" s="71"/>
      <c r="G38" s="72"/>
      <c r="H38" s="72"/>
      <c r="I38" s="72"/>
      <c r="J38" s="72"/>
      <c r="K38" s="73"/>
    </row>
    <row r="39" spans="1:17" x14ac:dyDescent="0.25">
      <c r="A39" s="33" t="s">
        <v>244</v>
      </c>
      <c r="B39" s="33">
        <v>3</v>
      </c>
      <c r="C39" s="50" t="s">
        <v>271</v>
      </c>
      <c r="D39" s="33">
        <v>1</v>
      </c>
      <c r="E39" s="32"/>
      <c r="F39" s="71"/>
      <c r="G39" s="72"/>
      <c r="H39" s="72"/>
      <c r="I39" s="72"/>
      <c r="J39" s="72"/>
      <c r="K39" s="73"/>
    </row>
    <row r="40" spans="1:17" x14ac:dyDescent="0.25">
      <c r="A40" s="33" t="s">
        <v>245</v>
      </c>
      <c r="B40" s="33">
        <v>3</v>
      </c>
      <c r="C40" s="50" t="s">
        <v>272</v>
      </c>
      <c r="D40" s="33">
        <v>1</v>
      </c>
      <c r="E40" s="32"/>
      <c r="F40" s="74"/>
      <c r="G40" s="75"/>
      <c r="H40" s="75"/>
      <c r="I40" s="75"/>
      <c r="J40" s="75"/>
      <c r="K40" s="76"/>
    </row>
    <row r="41" spans="1:17" x14ac:dyDescent="0.25">
      <c r="A41" s="36">
        <v>1.3</v>
      </c>
      <c r="B41" s="36">
        <v>2</v>
      </c>
      <c r="C41" s="37" t="s">
        <v>209</v>
      </c>
      <c r="D41" s="36">
        <v>2</v>
      </c>
      <c r="E41" s="35" t="s">
        <v>235</v>
      </c>
      <c r="F41" s="36"/>
      <c r="G41" s="36"/>
      <c r="H41" s="36"/>
      <c r="I41" s="36"/>
      <c r="J41" s="35"/>
      <c r="K41" s="35">
        <f>SUM(K42:K56)+SUM(J42:J56)</f>
        <v>103.49</v>
      </c>
    </row>
    <row r="42" spans="1:17" x14ac:dyDescent="0.25">
      <c r="A42" s="47" t="s">
        <v>184</v>
      </c>
      <c r="B42" s="33">
        <v>3</v>
      </c>
      <c r="C42" s="34" t="s">
        <v>210</v>
      </c>
      <c r="D42" s="33">
        <v>22</v>
      </c>
      <c r="E42" s="32">
        <v>7.21</v>
      </c>
      <c r="F42" s="33" t="s">
        <v>240</v>
      </c>
      <c r="G42" s="45" t="s">
        <v>176</v>
      </c>
      <c r="H42" s="63">
        <v>46237</v>
      </c>
      <c r="I42" s="33">
        <v>1</v>
      </c>
      <c r="J42" s="78">
        <v>5.87</v>
      </c>
      <c r="K42" s="32">
        <f>I42*E42</f>
        <v>7.21</v>
      </c>
    </row>
    <row r="43" spans="1:17" x14ac:dyDescent="0.25">
      <c r="A43" s="54"/>
      <c r="B43" s="54"/>
      <c r="C43" s="55"/>
      <c r="D43" s="54"/>
      <c r="E43" s="56"/>
      <c r="F43" s="54"/>
      <c r="G43" s="54"/>
      <c r="H43" s="58"/>
      <c r="I43" s="54"/>
      <c r="J43" s="79"/>
      <c r="K43" s="56"/>
    </row>
    <row r="44" spans="1:17" ht="30" x14ac:dyDescent="0.25">
      <c r="A44" s="47" t="s">
        <v>182</v>
      </c>
      <c r="B44" s="33">
        <v>3</v>
      </c>
      <c r="C44" s="34" t="s">
        <v>211</v>
      </c>
      <c r="D44" s="33">
        <v>44</v>
      </c>
      <c r="E44" s="32">
        <v>12.99</v>
      </c>
      <c r="F44" s="53" t="s">
        <v>289</v>
      </c>
      <c r="G44" s="46" t="s">
        <v>176</v>
      </c>
      <c r="H44" s="63">
        <v>46237</v>
      </c>
      <c r="I44" s="33">
        <v>3</v>
      </c>
      <c r="J44" s="80"/>
      <c r="K44" s="32">
        <f>I44*E44</f>
        <v>38.97</v>
      </c>
    </row>
    <row r="45" spans="1:17" ht="30" x14ac:dyDescent="0.25">
      <c r="A45" s="47" t="s">
        <v>179</v>
      </c>
      <c r="B45" s="33">
        <v>3</v>
      </c>
      <c r="C45" s="34" t="s">
        <v>212</v>
      </c>
      <c r="D45" s="33">
        <v>4</v>
      </c>
      <c r="E45" s="32">
        <v>8.09</v>
      </c>
      <c r="F45" s="53" t="s">
        <v>318</v>
      </c>
      <c r="G45" s="46" t="s">
        <v>176</v>
      </c>
      <c r="H45" s="63">
        <v>46237</v>
      </c>
      <c r="I45" s="33">
        <v>1</v>
      </c>
      <c r="J45" s="80"/>
      <c r="K45" s="32">
        <f t="shared" ref="K45:K46" si="1">I45*E45</f>
        <v>8.09</v>
      </c>
    </row>
    <row r="46" spans="1:17" ht="30" x14ac:dyDescent="0.25">
      <c r="A46" s="47" t="s">
        <v>291</v>
      </c>
      <c r="B46" s="33">
        <v>3</v>
      </c>
      <c r="C46" s="34" t="s">
        <v>213</v>
      </c>
      <c r="D46" s="33">
        <v>2</v>
      </c>
      <c r="E46" s="32">
        <v>9.99</v>
      </c>
      <c r="F46" s="53" t="s">
        <v>288</v>
      </c>
      <c r="G46" s="46" t="s">
        <v>176</v>
      </c>
      <c r="H46" s="63">
        <v>46237</v>
      </c>
      <c r="I46" s="33">
        <v>1</v>
      </c>
      <c r="J46" s="80"/>
      <c r="K46" s="32">
        <f t="shared" si="1"/>
        <v>9.99</v>
      </c>
    </row>
    <row r="47" spans="1:17" x14ac:dyDescent="0.25">
      <c r="A47" s="54"/>
      <c r="B47" s="54"/>
      <c r="C47" s="55"/>
      <c r="D47" s="54"/>
      <c r="E47" s="56"/>
      <c r="F47" s="54"/>
      <c r="G47" s="54"/>
      <c r="H47" s="54"/>
      <c r="I47" s="54"/>
      <c r="J47" s="79"/>
      <c r="K47" s="56"/>
    </row>
    <row r="48" spans="1:17" x14ac:dyDescent="0.25">
      <c r="A48" s="47" t="s">
        <v>292</v>
      </c>
      <c r="B48" s="33">
        <v>3</v>
      </c>
      <c r="C48" s="34" t="s">
        <v>215</v>
      </c>
      <c r="D48" s="33">
        <v>15</v>
      </c>
      <c r="E48" s="32">
        <v>6.99</v>
      </c>
      <c r="F48" s="47" t="s">
        <v>236</v>
      </c>
      <c r="G48" s="46" t="s">
        <v>176</v>
      </c>
      <c r="H48" s="39" t="s">
        <v>259</v>
      </c>
      <c r="I48" s="33"/>
      <c r="J48" s="80"/>
      <c r="K48" s="32">
        <f t="shared" ref="K48:K55" si="2">I48*E48</f>
        <v>0</v>
      </c>
    </row>
    <row r="49" spans="1:17" x14ac:dyDescent="0.25">
      <c r="A49" s="47" t="s">
        <v>293</v>
      </c>
      <c r="B49" s="33">
        <v>3</v>
      </c>
      <c r="C49" s="34" t="s">
        <v>216</v>
      </c>
      <c r="D49" s="33">
        <v>5</v>
      </c>
      <c r="E49" s="32">
        <v>8.99</v>
      </c>
      <c r="F49" s="33" t="s">
        <v>257</v>
      </c>
      <c r="G49" s="46" t="s">
        <v>176</v>
      </c>
      <c r="H49" s="39" t="s">
        <v>259</v>
      </c>
      <c r="I49" s="33"/>
      <c r="J49" s="80"/>
      <c r="K49" s="32">
        <f>I49*E49</f>
        <v>0</v>
      </c>
    </row>
    <row r="50" spans="1:17" x14ac:dyDescent="0.25">
      <c r="A50" s="59"/>
      <c r="B50" s="54"/>
      <c r="C50" s="55"/>
      <c r="D50" s="54"/>
      <c r="E50" s="56"/>
      <c r="F50" s="54"/>
      <c r="G50" s="54"/>
      <c r="H50" s="54"/>
      <c r="I50" s="54"/>
      <c r="J50" s="79"/>
      <c r="K50" s="56"/>
    </row>
    <row r="51" spans="1:17" ht="30" x14ac:dyDescent="0.25">
      <c r="A51" s="47" t="s">
        <v>294</v>
      </c>
      <c r="B51" s="33">
        <v>3</v>
      </c>
      <c r="C51" s="34" t="s">
        <v>214</v>
      </c>
      <c r="D51" s="33">
        <v>6</v>
      </c>
      <c r="E51" s="32">
        <v>7.79</v>
      </c>
      <c r="F51" s="53" t="s">
        <v>287</v>
      </c>
      <c r="G51" s="46" t="s">
        <v>176</v>
      </c>
      <c r="H51" s="63">
        <v>46237</v>
      </c>
      <c r="I51" s="33">
        <v>3</v>
      </c>
      <c r="J51" s="80"/>
      <c r="K51" s="32">
        <f t="shared" ref="K51:K52" si="3">I51*E51</f>
        <v>23.37</v>
      </c>
      <c r="Q51" s="31"/>
    </row>
    <row r="52" spans="1:17" x14ac:dyDescent="0.25">
      <c r="A52" s="47" t="s">
        <v>295</v>
      </c>
      <c r="B52" s="33">
        <v>3</v>
      </c>
      <c r="C52" s="34" t="s">
        <v>217</v>
      </c>
      <c r="D52" s="33">
        <v>9</v>
      </c>
      <c r="E52" s="66">
        <v>22.99</v>
      </c>
      <c r="F52" s="47" t="s">
        <v>260</v>
      </c>
      <c r="G52" s="82" t="s">
        <v>176</v>
      </c>
      <c r="H52" s="84" t="s">
        <v>259</v>
      </c>
      <c r="I52" s="86"/>
      <c r="J52" s="80"/>
      <c r="K52" s="66">
        <f t="shared" si="3"/>
        <v>0</v>
      </c>
    </row>
    <row r="53" spans="1:17" x14ac:dyDescent="0.25">
      <c r="A53" s="47" t="s">
        <v>296</v>
      </c>
      <c r="B53" s="33">
        <v>3</v>
      </c>
      <c r="C53" s="34" t="s">
        <v>221</v>
      </c>
      <c r="D53" s="33">
        <v>7</v>
      </c>
      <c r="E53" s="67"/>
      <c r="F53" s="47" t="s">
        <v>255</v>
      </c>
      <c r="G53" s="83"/>
      <c r="H53" s="85"/>
      <c r="I53" s="87"/>
      <c r="J53" s="80"/>
      <c r="K53" s="67"/>
    </row>
    <row r="54" spans="1:17" x14ac:dyDescent="0.25">
      <c r="A54" s="47" t="s">
        <v>297</v>
      </c>
      <c r="B54" s="33">
        <v>3</v>
      </c>
      <c r="C54" s="34" t="s">
        <v>243</v>
      </c>
      <c r="D54" s="33">
        <v>4</v>
      </c>
      <c r="E54" s="32">
        <v>9.99</v>
      </c>
      <c r="F54" s="47" t="s">
        <v>249</v>
      </c>
      <c r="G54" s="46" t="s">
        <v>176</v>
      </c>
      <c r="H54" s="63">
        <v>46237</v>
      </c>
      <c r="I54" s="33">
        <v>1</v>
      </c>
      <c r="J54" s="80"/>
      <c r="K54" s="32">
        <f>I54*E54</f>
        <v>9.99</v>
      </c>
    </row>
    <row r="55" spans="1:17" x14ac:dyDescent="0.25">
      <c r="A55" s="47" t="s">
        <v>298</v>
      </c>
      <c r="B55" s="33">
        <v>3</v>
      </c>
      <c r="C55" s="50" t="s">
        <v>251</v>
      </c>
      <c r="D55" s="33">
        <v>1</v>
      </c>
      <c r="E55" s="32">
        <v>7.29</v>
      </c>
      <c r="F55" s="47" t="s">
        <v>252</v>
      </c>
      <c r="G55" s="46" t="s">
        <v>176</v>
      </c>
      <c r="H55" s="39" t="s">
        <v>258</v>
      </c>
      <c r="I55" s="47"/>
      <c r="J55" s="80"/>
      <c r="K55" s="32">
        <f t="shared" si="2"/>
        <v>0</v>
      </c>
    </row>
    <row r="56" spans="1:17" x14ac:dyDescent="0.25">
      <c r="A56" s="47" t="s">
        <v>299</v>
      </c>
      <c r="B56" s="33">
        <v>3</v>
      </c>
      <c r="C56" s="34" t="s">
        <v>234</v>
      </c>
      <c r="D56" s="33">
        <v>1</v>
      </c>
      <c r="E56" s="32">
        <v>21.45</v>
      </c>
      <c r="F56" s="47" t="s">
        <v>286</v>
      </c>
      <c r="G56" s="46" t="s">
        <v>176</v>
      </c>
      <c r="H56" s="47" t="s">
        <v>248</v>
      </c>
      <c r="I56" s="33"/>
      <c r="J56" s="81"/>
      <c r="K56" s="32"/>
    </row>
    <row r="57" spans="1:17" x14ac:dyDescent="0.25">
      <c r="A57" s="54"/>
      <c r="B57" s="54"/>
      <c r="C57" s="55"/>
      <c r="D57" s="54"/>
      <c r="E57" s="56"/>
      <c r="F57" s="57"/>
      <c r="G57" s="54"/>
      <c r="H57" s="54"/>
      <c r="I57" s="54"/>
      <c r="J57" s="56"/>
      <c r="K57" s="56"/>
    </row>
    <row r="58" spans="1:17" x14ac:dyDescent="0.25">
      <c r="A58" s="47" t="s">
        <v>300</v>
      </c>
      <c r="B58" s="33">
        <v>3</v>
      </c>
      <c r="C58" s="50" t="s">
        <v>273</v>
      </c>
      <c r="D58" s="33">
        <v>1</v>
      </c>
      <c r="E58" s="32"/>
      <c r="F58" s="77" t="s">
        <v>290</v>
      </c>
      <c r="G58" s="69"/>
      <c r="H58" s="69"/>
      <c r="I58" s="69"/>
      <c r="J58" s="69"/>
      <c r="K58" s="70"/>
    </row>
    <row r="59" spans="1:17" x14ac:dyDescent="0.25">
      <c r="A59" s="47" t="s">
        <v>301</v>
      </c>
      <c r="B59" s="33">
        <v>3</v>
      </c>
      <c r="C59" s="50" t="s">
        <v>274</v>
      </c>
      <c r="D59" s="33">
        <v>1</v>
      </c>
      <c r="E59" s="32"/>
      <c r="F59" s="71"/>
      <c r="G59" s="72"/>
      <c r="H59" s="72"/>
      <c r="I59" s="72"/>
      <c r="J59" s="72"/>
      <c r="K59" s="73"/>
    </row>
    <row r="60" spans="1:17" x14ac:dyDescent="0.25">
      <c r="A60" s="47" t="s">
        <v>302</v>
      </c>
      <c r="B60" s="33">
        <v>3</v>
      </c>
      <c r="C60" s="50" t="s">
        <v>275</v>
      </c>
      <c r="D60" s="33">
        <v>44</v>
      </c>
      <c r="E60" s="32"/>
      <c r="F60" s="71"/>
      <c r="G60" s="72"/>
      <c r="H60" s="72"/>
      <c r="I60" s="72"/>
      <c r="J60" s="72"/>
      <c r="K60" s="73"/>
    </row>
    <row r="61" spans="1:17" x14ac:dyDescent="0.25">
      <c r="A61" s="47" t="s">
        <v>303</v>
      </c>
      <c r="B61" s="33">
        <v>3</v>
      </c>
      <c r="C61" s="50" t="s">
        <v>276</v>
      </c>
      <c r="D61" s="33">
        <v>22</v>
      </c>
      <c r="E61" s="32"/>
      <c r="F61" s="71"/>
      <c r="G61" s="72"/>
      <c r="H61" s="72"/>
      <c r="I61" s="72"/>
      <c r="J61" s="72"/>
      <c r="K61" s="73"/>
    </row>
    <row r="62" spans="1:17" x14ac:dyDescent="0.25">
      <c r="A62" s="47" t="s">
        <v>304</v>
      </c>
      <c r="B62" s="33">
        <v>3</v>
      </c>
      <c r="C62" s="50" t="s">
        <v>277</v>
      </c>
      <c r="D62" s="33">
        <v>2</v>
      </c>
      <c r="E62" s="32"/>
      <c r="F62" s="71"/>
      <c r="G62" s="72"/>
      <c r="H62" s="72"/>
      <c r="I62" s="72"/>
      <c r="J62" s="72"/>
      <c r="K62" s="73"/>
    </row>
    <row r="63" spans="1:17" x14ac:dyDescent="0.25">
      <c r="A63" s="47" t="s">
        <v>305</v>
      </c>
      <c r="B63" s="33">
        <v>3</v>
      </c>
      <c r="C63" s="50" t="s">
        <v>278</v>
      </c>
      <c r="D63" s="33">
        <v>2</v>
      </c>
      <c r="E63" s="32"/>
      <c r="F63" s="71"/>
      <c r="G63" s="72"/>
      <c r="H63" s="72"/>
      <c r="I63" s="72"/>
      <c r="J63" s="72"/>
      <c r="K63" s="73"/>
    </row>
    <row r="64" spans="1:17" x14ac:dyDescent="0.25">
      <c r="A64" s="47" t="s">
        <v>306</v>
      </c>
      <c r="B64" s="33">
        <v>3</v>
      </c>
      <c r="C64" s="50" t="s">
        <v>279</v>
      </c>
      <c r="D64" s="33">
        <v>1</v>
      </c>
      <c r="E64" s="32"/>
      <c r="F64" s="71"/>
      <c r="G64" s="72"/>
      <c r="H64" s="72"/>
      <c r="I64" s="72"/>
      <c r="J64" s="72"/>
      <c r="K64" s="73"/>
    </row>
    <row r="65" spans="1:11" x14ac:dyDescent="0.25">
      <c r="A65" s="47" t="s">
        <v>307</v>
      </c>
      <c r="B65" s="33">
        <v>3</v>
      </c>
      <c r="C65" s="50" t="s">
        <v>280</v>
      </c>
      <c r="D65" s="33">
        <v>1</v>
      </c>
      <c r="E65" s="32"/>
      <c r="F65" s="71"/>
      <c r="G65" s="72"/>
      <c r="H65" s="72"/>
      <c r="I65" s="72"/>
      <c r="J65" s="72"/>
      <c r="K65" s="73"/>
    </row>
    <row r="66" spans="1:11" x14ac:dyDescent="0.25">
      <c r="A66" s="47" t="s">
        <v>308</v>
      </c>
      <c r="B66" s="33">
        <v>3</v>
      </c>
      <c r="C66" s="50" t="s">
        <v>281</v>
      </c>
      <c r="D66" s="33">
        <v>1</v>
      </c>
      <c r="E66" s="32"/>
      <c r="F66" s="71"/>
      <c r="G66" s="72"/>
      <c r="H66" s="72"/>
      <c r="I66" s="72"/>
      <c r="J66" s="72"/>
      <c r="K66" s="73"/>
    </row>
    <row r="67" spans="1:11" x14ac:dyDescent="0.25">
      <c r="A67" s="47" t="s">
        <v>309</v>
      </c>
      <c r="B67" s="33">
        <v>3</v>
      </c>
      <c r="C67" s="50" t="s">
        <v>282</v>
      </c>
      <c r="D67" s="33">
        <v>1</v>
      </c>
      <c r="E67" s="32"/>
      <c r="F67" s="71"/>
      <c r="G67" s="72"/>
      <c r="H67" s="72"/>
      <c r="I67" s="72"/>
      <c r="J67" s="72"/>
      <c r="K67" s="73"/>
    </row>
    <row r="68" spans="1:11" x14ac:dyDescent="0.25">
      <c r="A68" s="47" t="s">
        <v>310</v>
      </c>
      <c r="B68" s="33">
        <v>3</v>
      </c>
      <c r="C68" s="50" t="s">
        <v>283</v>
      </c>
      <c r="D68" s="33">
        <v>1</v>
      </c>
      <c r="E68" s="32"/>
      <c r="F68" s="71"/>
      <c r="G68" s="72"/>
      <c r="H68" s="72"/>
      <c r="I68" s="72"/>
      <c r="J68" s="72"/>
      <c r="K68" s="73"/>
    </row>
    <row r="69" spans="1:11" x14ac:dyDescent="0.25">
      <c r="A69" s="47" t="s">
        <v>311</v>
      </c>
      <c r="B69" s="33">
        <v>3</v>
      </c>
      <c r="C69" s="50" t="s">
        <v>283</v>
      </c>
      <c r="D69" s="33">
        <v>1</v>
      </c>
      <c r="E69" s="32"/>
      <c r="F69" s="71"/>
      <c r="G69" s="72"/>
      <c r="H69" s="72"/>
      <c r="I69" s="72"/>
      <c r="J69" s="72"/>
      <c r="K69" s="73"/>
    </row>
    <row r="70" spans="1:11" x14ac:dyDescent="0.25">
      <c r="A70" s="47" t="s">
        <v>312</v>
      </c>
      <c r="B70" s="33">
        <v>3</v>
      </c>
      <c r="C70" s="50" t="s">
        <v>284</v>
      </c>
      <c r="D70" s="33">
        <v>1</v>
      </c>
      <c r="E70" s="32"/>
      <c r="F70" s="71"/>
      <c r="G70" s="72"/>
      <c r="H70" s="72"/>
      <c r="I70" s="72"/>
      <c r="J70" s="72"/>
      <c r="K70" s="73"/>
    </row>
    <row r="73" spans="1:11" x14ac:dyDescent="0.25">
      <c r="A73" s="36">
        <v>1.4</v>
      </c>
      <c r="B73" s="36">
        <v>3</v>
      </c>
      <c r="C73" s="37" t="s">
        <v>321</v>
      </c>
      <c r="D73" s="36"/>
      <c r="E73" s="35" t="s">
        <v>235</v>
      </c>
      <c r="F73" s="36"/>
      <c r="G73" s="36"/>
      <c r="H73" s="36"/>
      <c r="I73" s="36"/>
      <c r="J73" s="35"/>
      <c r="K73" s="35">
        <f>SUM(K74:K78)+SUM(J74:J78)</f>
        <v>60.139999999999993</v>
      </c>
    </row>
    <row r="74" spans="1:11" x14ac:dyDescent="0.25">
      <c r="A74" s="47" t="s">
        <v>184</v>
      </c>
      <c r="B74" s="33">
        <v>4</v>
      </c>
      <c r="C74" s="34"/>
      <c r="D74" s="33">
        <v>22</v>
      </c>
      <c r="E74" s="32">
        <v>7.21</v>
      </c>
      <c r="F74" s="33" t="s">
        <v>240</v>
      </c>
      <c r="G74" s="45" t="s">
        <v>322</v>
      </c>
      <c r="H74" s="63">
        <v>46237</v>
      </c>
      <c r="I74" s="33">
        <v>1</v>
      </c>
      <c r="J74" s="91">
        <v>5.87</v>
      </c>
      <c r="K74" s="32">
        <f>I74*E74</f>
        <v>7.21</v>
      </c>
    </row>
    <row r="75" spans="1:11" x14ac:dyDescent="0.25">
      <c r="A75" s="54"/>
      <c r="B75" s="54"/>
      <c r="C75" s="55"/>
      <c r="D75" s="54"/>
      <c r="E75" s="56"/>
      <c r="F75" s="54"/>
      <c r="G75" s="54"/>
      <c r="H75" s="58"/>
      <c r="I75" s="54"/>
      <c r="J75" s="92"/>
      <c r="K75" s="56"/>
    </row>
    <row r="76" spans="1:11" ht="30" x14ac:dyDescent="0.25">
      <c r="A76" s="47" t="s">
        <v>182</v>
      </c>
      <c r="B76" s="33">
        <v>4</v>
      </c>
      <c r="C76" s="34"/>
      <c r="D76" s="33">
        <v>44</v>
      </c>
      <c r="E76" s="32">
        <v>12.99</v>
      </c>
      <c r="F76" s="53" t="s">
        <v>289</v>
      </c>
      <c r="G76" s="46" t="s">
        <v>323</v>
      </c>
      <c r="H76" s="63">
        <v>46237</v>
      </c>
      <c r="I76" s="33">
        <v>3</v>
      </c>
      <c r="J76" s="93"/>
      <c r="K76" s="32">
        <f>I76*E76</f>
        <v>38.97</v>
      </c>
    </row>
    <row r="77" spans="1:11" ht="30" x14ac:dyDescent="0.25">
      <c r="A77" s="47" t="s">
        <v>179</v>
      </c>
      <c r="B77" s="33">
        <v>4</v>
      </c>
      <c r="C77" s="34"/>
      <c r="D77" s="33">
        <v>4</v>
      </c>
      <c r="E77" s="32">
        <v>8.09</v>
      </c>
      <c r="F77" s="53" t="s">
        <v>318</v>
      </c>
      <c r="G77" s="46" t="s">
        <v>324</v>
      </c>
      <c r="H77" s="63">
        <v>46237</v>
      </c>
      <c r="I77" s="33">
        <v>1</v>
      </c>
      <c r="J77" s="93"/>
      <c r="K77" s="32">
        <f t="shared" ref="K77:K78" si="4">I77*E77</f>
        <v>8.09</v>
      </c>
    </row>
    <row r="78" spans="1:11" x14ac:dyDescent="0.25">
      <c r="A78" s="47"/>
      <c r="B78" s="33"/>
      <c r="C78" s="34"/>
      <c r="D78" s="33"/>
      <c r="E78" s="32"/>
      <c r="F78" s="53"/>
      <c r="G78" s="46"/>
      <c r="H78" s="63"/>
      <c r="I78" s="33"/>
      <c r="J78" s="93"/>
      <c r="K78" s="32">
        <f t="shared" si="4"/>
        <v>0</v>
      </c>
    </row>
    <row r="90" ht="15" customHeight="1" x14ac:dyDescent="0.25"/>
  </sheetData>
  <mergeCells count="14">
    <mergeCell ref="E22:E23"/>
    <mergeCell ref="K52:K53"/>
    <mergeCell ref="F28:K40"/>
    <mergeCell ref="F58:K70"/>
    <mergeCell ref="J42:J56"/>
    <mergeCell ref="E52:E53"/>
    <mergeCell ref="G52:G53"/>
    <mergeCell ref="H52:H53"/>
    <mergeCell ref="I52:I53"/>
    <mergeCell ref="K22:K23"/>
    <mergeCell ref="J12:J26"/>
    <mergeCell ref="H22:H23"/>
    <mergeCell ref="G22:G23"/>
    <mergeCell ref="I22:I23"/>
  </mergeCells>
  <phoneticPr fontId="13" type="noConversion"/>
  <hyperlinks>
    <hyperlink ref="G7" r:id="rId1" xr:uid="{8091DB70-558E-4592-B9B4-38004DC7FBB7}"/>
    <hyperlink ref="G6" r:id="rId2" xr:uid="{F7F75BD6-DB10-4AC2-8841-880D0CC3617B}"/>
    <hyperlink ref="G5" r:id="rId3" xr:uid="{279313D3-1F5C-43AF-9B3D-757C7867AE3E}"/>
    <hyperlink ref="G4" r:id="rId4" xr:uid="{B4D6F187-CB3D-4341-91C2-50FA0284B7B9}"/>
    <hyperlink ref="G15" r:id="rId5" xr:uid="{CB15E97A-CE83-44D6-82C3-DF5BB60E4804}"/>
    <hyperlink ref="G16" r:id="rId6" xr:uid="{F4F3F6BE-7691-42BB-8AD9-FC215EC5A9EB}"/>
    <hyperlink ref="G18" r:id="rId7" xr:uid="{490592CB-759D-43DE-B1A2-208282D5996C}"/>
    <hyperlink ref="G19" r:id="rId8" xr:uid="{5DF8CFDD-7940-473E-A87F-DADA18BF04F0}"/>
    <hyperlink ref="G14" r:id="rId9" xr:uid="{72E845C8-3CF7-483D-A4A6-1A20CBED3C93}"/>
    <hyperlink ref="G12" r:id="rId10" xr:uid="{C64245B6-E24B-46B9-854D-A533B6A984F0}"/>
    <hyperlink ref="G25" r:id="rId11" xr:uid="{71953ECA-F332-45BA-A578-4C4B7FEF587E}"/>
    <hyperlink ref="G26" r:id="rId12" xr:uid="{DEBF1BA2-46DF-49AD-9E35-D39C010E82A9}"/>
    <hyperlink ref="G21" r:id="rId13" xr:uid="{1412C55E-6A1A-4053-A18E-D6A0EE5D9AF0}"/>
    <hyperlink ref="G10" r:id="rId14" xr:uid="{BB939D89-68F1-407A-8961-161DEA665F6A}"/>
    <hyperlink ref="G48" r:id="rId15" xr:uid="{CF4E87A8-2CD6-44E7-B022-0B1B179E9C9B}"/>
    <hyperlink ref="G49" r:id="rId16" xr:uid="{E7EE2972-5E2C-4E50-B232-CF0017396C34}"/>
    <hyperlink ref="G44" r:id="rId17" xr:uid="{3BE946ED-0C3E-4843-8774-E4F93E18E598}"/>
    <hyperlink ref="G42" r:id="rId18" xr:uid="{F408121A-1D17-44CD-9FA6-54DD50AB9900}"/>
    <hyperlink ref="G55" r:id="rId19" xr:uid="{FEA4F571-F1A3-49CD-8ADA-35A12B26F775}"/>
    <hyperlink ref="G56" r:id="rId20" xr:uid="{F758FAF3-7978-4F47-B4FF-CA876A9FFDA1}"/>
    <hyperlink ref="G45" r:id="rId21" xr:uid="{5E52BE69-7A7F-4A75-A558-F821970562D3}"/>
    <hyperlink ref="G51" r:id="rId22" xr:uid="{181C5DE6-9473-4241-B12C-D25DC1804061}"/>
    <hyperlink ref="G54" r:id="rId23" xr:uid="{19AC5AEB-C68E-4393-AAB8-3C0E0C06A444}"/>
    <hyperlink ref="G46" r:id="rId24" xr:uid="{B027617C-3F89-419E-A842-31851D15B3A1}"/>
    <hyperlink ref="G9" r:id="rId25" xr:uid="{0C670866-C934-4719-A79D-80B26BA422F7}"/>
    <hyperlink ref="G74" r:id="rId26" xr:uid="{13FED848-D9FE-497A-98DD-D8063464CEB6}"/>
  </hyperlinks>
  <pageMargins left="0.7" right="0.7" top="0.75" bottom="0.75" header="0.3" footer="0.3"/>
  <pageSetup orientation="portrait" r:id="rId27"/>
  <drawing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2026-08-14T00:04:52Z</dcterms:modified>
  <dc:language>en-US</dc:language>
</cp:coreProperties>
</file>