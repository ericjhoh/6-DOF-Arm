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rico\Documents\GitHub\6-DOF-Arm\"/>
    </mc:Choice>
  </mc:AlternateContent>
  <xr:revisionPtr revIDLastSave="0" documentId="13_ncr:1_{3E648546-19A6-497C-9520-6A3132575421}" xr6:coauthVersionLast="47" xr6:coauthVersionMax="47" xr10:uidLastSave="{00000000-0000-0000-0000-000000000000}"/>
  <bookViews>
    <workbookView xWindow="-120" yWindow="-120" windowWidth="38640" windowHeight="23520" tabRatio="500" xr2:uid="{00000000-000D-0000-FFFF-FFFF00000000}"/>
  </bookViews>
  <sheets>
    <sheet name="Torque Budget" sheetId="1" r:id="rId1"/>
    <sheet name="Timeline" sheetId="2" r:id="rId2"/>
    <sheet name="BOM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3" l="1"/>
  <c r="E59" i="1"/>
  <c r="F59" i="1" s="1"/>
  <c r="G59" i="1" s="1"/>
  <c r="D59" i="1"/>
  <c r="C59" i="1"/>
  <c r="E58" i="1"/>
  <c r="D58" i="1"/>
  <c r="E57" i="1"/>
  <c r="D57" i="1"/>
  <c r="I56" i="1"/>
  <c r="H56" i="1"/>
  <c r="E56" i="1"/>
  <c r="D56" i="1"/>
  <c r="I55" i="1"/>
  <c r="H55" i="1"/>
  <c r="E55" i="1"/>
  <c r="D55" i="1"/>
  <c r="I54" i="1"/>
  <c r="H54" i="1"/>
  <c r="E54" i="1"/>
  <c r="F54" i="1" s="1"/>
  <c r="G54" i="1" s="1"/>
  <c r="D54" i="1"/>
  <c r="C54" i="1"/>
  <c r="F49" i="1"/>
  <c r="F48" i="1"/>
  <c r="E44" i="1"/>
  <c r="D44" i="1"/>
  <c r="B44" i="1"/>
  <c r="F44" i="1" s="1"/>
  <c r="E43" i="1"/>
  <c r="D43" i="1"/>
  <c r="B43" i="1"/>
  <c r="G43" i="1" s="1"/>
  <c r="E42" i="1"/>
  <c r="D42" i="1"/>
  <c r="B42" i="1"/>
  <c r="G42" i="1" s="1"/>
  <c r="E41" i="1"/>
  <c r="D41" i="1"/>
  <c r="B41" i="1"/>
  <c r="G41" i="1" s="1"/>
  <c r="E40" i="1"/>
  <c r="D40" i="1"/>
  <c r="B40" i="1"/>
  <c r="F40" i="1" s="1"/>
  <c r="F39" i="1"/>
  <c r="D39" i="1"/>
  <c r="B39" i="1"/>
  <c r="D38" i="1"/>
  <c r="B38" i="1"/>
  <c r="F38" i="1" s="1"/>
  <c r="B9" i="1"/>
  <c r="F50" i="1" l="1"/>
  <c r="G44" i="1"/>
  <c r="B57" i="1"/>
  <c r="C57" i="1" s="1"/>
  <c r="B58" i="1"/>
  <c r="C58" i="1" s="1"/>
  <c r="F58" i="1" s="1"/>
  <c r="G58" i="1" s="1"/>
  <c r="F57" i="1"/>
  <c r="G57" i="1" s="1"/>
  <c r="G40" i="1"/>
  <c r="G45" i="1" s="1"/>
  <c r="B56" i="1" s="1"/>
  <c r="C56" i="1" s="1"/>
  <c r="F56" i="1" s="1"/>
  <c r="G56" i="1" s="1"/>
  <c r="F42" i="1"/>
  <c r="F41" i="1"/>
  <c r="F45" i="1" s="1"/>
  <c r="B55" i="1" s="1"/>
  <c r="C55" i="1" s="1"/>
  <c r="F55" i="1" s="1"/>
  <c r="G55" i="1" s="1"/>
  <c r="F43" i="1"/>
</calcChain>
</file>

<file path=xl/sharedStrings.xml><?xml version="1.0" encoding="utf-8"?>
<sst xmlns="http://schemas.openxmlformats.org/spreadsheetml/2006/main" count="220" uniqueCount="190">
  <si>
    <t>6-DoF Arm — Gravity Torque Budget v2 (elbow-mounted forearm roll)</t>
  </si>
  <si>
    <t>Joint order (base to tool): J1 yaw·z, J2 shoulder pitch·x, J3 elbow pitch·x, J4 forearm roll·y AT ELBOW, J5 wrist pitch·x, J6 tool roll·y. Blue cells = inputs. Worst case: arm horizontal.</t>
  </si>
  <si>
    <t>GEOMETRY  (total reach = shoulder pitch axis to tool center point)</t>
  </si>
  <si>
    <t>L1 — upper arm (shoulder pitch to elbow pitch axis)</t>
  </si>
  <si>
    <t>m</t>
  </si>
  <si>
    <t>L2 — forearm (elbow pitch to wrist pitch axis)</t>
  </si>
  <si>
    <t>L3 — wrist pitch axis to TCP</t>
  </si>
  <si>
    <t>Payload CG assumed at TCP</t>
  </si>
  <si>
    <t>d4 — J4 roll actuator CG offset distal of elbow</t>
  </si>
  <si>
    <t>How far past the elbow pitch axis the J4 motor sits</t>
  </si>
  <si>
    <t>Total reach</t>
  </si>
  <si>
    <t>Target: 0.400 m as decided</t>
  </si>
  <si>
    <t>MASSES</t>
  </si>
  <si>
    <t>J3 elbow pitch actuator (mj5208 + r4.11 + cycloidal)</t>
  </si>
  <si>
    <t>kg</t>
  </si>
  <si>
    <t>Body mounted on upper-arm side of the joint</t>
  </si>
  <si>
    <t>J4 forearm roll actuator (small motor + driver + housing)</t>
  </si>
  <si>
    <t>e.g. gimbal motor ~90 g + moteus-c1 ~9 g + printed reducer/housing</t>
  </si>
  <si>
    <t>Wrist cluster — J5 + J6 only (2 actuators + structure)</t>
  </si>
  <si>
    <t>Was 0.35 kg with a 3-axis wrist — this is the payoff of the move</t>
  </si>
  <si>
    <t>Gripper (actuator + jaws)</t>
  </si>
  <si>
    <t>Keep under ~0.2 kg</t>
  </si>
  <si>
    <t>Payload (design requirement)</t>
  </si>
  <si>
    <t>500 g spec</t>
  </si>
  <si>
    <t>Upper arm link (CF tube + clamps, CG at L1/2)</t>
  </si>
  <si>
    <t>Forearm link (CF tube + clamps, CG at L1 + L2/2)</t>
  </si>
  <si>
    <t>Slightly heavier in practice: it must carry the J4 rotating interface</t>
  </si>
  <si>
    <t>CONSTANTS &amp; DESIGN FACTORS</t>
  </si>
  <si>
    <t>Gravitational acceleration g</t>
  </si>
  <si>
    <t>m/s²</t>
  </si>
  <si>
    <t>Safety factor on continuous torque</t>
  </si>
  <si>
    <t>Covers cycloidal friction variation, print quality, dynamic loads while carrying payload</t>
  </si>
  <si>
    <t>ACTUATOR PARAMETERS</t>
  </si>
  <si>
    <t>mj5208 continuous torque</t>
  </si>
  <si>
    <t>Nm</t>
  </si>
  <si>
    <t>Your figure, w/ heat spreader @ 24 V. Verify at thermal steady state on the bench.</t>
  </si>
  <si>
    <t>mj5208 peak torque</t>
  </si>
  <si>
    <t>mjbots spec; transient only</t>
  </si>
  <si>
    <t>mj5208 speed at continuous rating</t>
  </si>
  <si>
    <t>rpm</t>
  </si>
  <si>
    <t>No-load speed is much higher; peak joint speed exceeds this</t>
  </si>
  <si>
    <t>Cycloidal gearbox efficiency</t>
  </si>
  <si>
    <t>-</t>
  </si>
  <si>
    <t>ASSUMPTION — printed cycloidals range ~0.60–0.90. Measure and update.</t>
  </si>
  <si>
    <t>Gear ratio — J1 base yaw</t>
  </si>
  <si>
    <t>:1</t>
  </si>
  <si>
    <t>Gravity load ~0; existing 15:1 design is fine</t>
  </si>
  <si>
    <t>Gear ratio — J2 shoulder pitch</t>
  </si>
  <si>
    <t>15:1 fails the budget below even with the lighter wrist</t>
  </si>
  <si>
    <t>Gear ratio — J3 elbow pitch</t>
  </si>
  <si>
    <t>Existing 15:1 design</t>
  </si>
  <si>
    <t>Small motor continuous torque (J4–J6)</t>
  </si>
  <si>
    <t>e.g. GM4108-class gimbal + moteus-c1. Edit if using a smart servo instead.</t>
  </si>
  <si>
    <t>Small motor gear ratio (J4–J6)</t>
  </si>
  <si>
    <t>Printed planetary; J4 wants a hollow bore or belt offset for wiring</t>
  </si>
  <si>
    <t>Small motor gear efficiency</t>
  </si>
  <si>
    <t>COMPONENT GRAVITY TORQUES — ARM HORIZONTAL (worst case)</t>
  </si>
  <si>
    <t>Component</t>
  </si>
  <si>
    <t>Mass (kg)</t>
  </si>
  <si>
    <t>CG dist from shoulder (m)</t>
  </si>
  <si>
    <t>CG dist from elbow (m)</t>
  </si>
  <si>
    <t>τ about shoulder (Nm)</t>
  </si>
  <si>
    <t>τ about elbow (Nm)</t>
  </si>
  <si>
    <t>Upper arm link</t>
  </si>
  <si>
    <t>—</t>
  </si>
  <si>
    <t>J3 elbow pitch actuator</t>
  </si>
  <si>
    <t>J4 forearm roll actuator (at elbow)</t>
  </si>
  <si>
    <t>Forearm link</t>
  </si>
  <si>
    <t>Wrist cluster (J5 + J6)</t>
  </si>
  <si>
    <t>Gripper</t>
  </si>
  <si>
    <t>Payload @ TCP</t>
  </si>
  <si>
    <t>TOTAL static gravity torque</t>
  </si>
  <si>
    <t>DISTAL AXIS GRAVITY TORQUES</t>
  </si>
  <si>
    <t>Gripper about wrist pitch axis (CG at L3/2)</t>
  </si>
  <si>
    <t>Payload about wrist pitch axis (at L3)</t>
  </si>
  <si>
    <t>TOTAL — J5 wrist pitch requirement</t>
  </si>
  <si>
    <t>J4 forearm roll sees the SAME worst case: with the wrist pitched 90°, the gripper + payload hang off the roll axis on the same lever arms</t>
  </si>
  <si>
    <t>JOINT SIZING SUMMARY</t>
  </si>
  <si>
    <t>Joint</t>
  </si>
  <si>
    <t>Required cont. τ (Nm)</t>
  </si>
  <si>
    <t>Req. × SF (Nm)</t>
  </si>
  <si>
    <t>Ratio</t>
  </si>
  <si>
    <t>Available cont. τ (Nm)</t>
  </si>
  <si>
    <t>Margin (avail / req×SF)</t>
  </si>
  <si>
    <t>Status</t>
  </si>
  <si>
    <t>Peak τ avail (Nm)</t>
  </si>
  <si>
    <t>Output speed (°/s)</t>
  </si>
  <si>
    <t>J1 base yaw · z (mj5208)</t>
  </si>
  <si>
    <t>J2 shoulder pitch · x (mj5208)</t>
  </si>
  <si>
    <t>J3 elbow pitch · x (mj5208)</t>
  </si>
  <si>
    <t>J4 forearm roll · y (small motor)</t>
  </si>
  <si>
    <t>J5 wrist pitch · x (small motor)</t>
  </si>
  <si>
    <t>J6 tool roll · y (small motor)</t>
  </si>
  <si>
    <t>Notes:</t>
  </si>
  <si>
    <t>• J1 required torque is an input: it carries ~zero gravity torque and is sized by friction + acceleration of full-arm inertia.</t>
  </si>
  <si>
    <t>• J6 required torque is an input: gravity torque about the tool roll axis is only the payload CG offset from that axis; sized mainly for grasp disturbances.</t>
  </si>
  <si>
    <t>• J4 worst case = wrist pitched 90° with payload (same lever arms as J5), so both use the same requirement and actuator for commonality.</t>
  </si>
  <si>
    <t>• vs the 3-axis-wrist version: shoulder requirement drops ~0.2 Nm and elbow ~0.15 Nm from moving one actuator's mass off the forearm tip.</t>
  </si>
  <si>
    <t>• Route wiring for J5/J6/gripper through or past J4: limit J4 travel (±~270°) with a cable service loop, or design a hollow-bore reducer. No slip rings.</t>
  </si>
  <si>
    <t>• After the single-joint bench test, replace the 0.80 cycloidal efficiency assumption with the measured value.</t>
  </si>
  <si>
    <t>Build Timeline — 6-DoF Arm for ML/RL Experiments (v2 architecture)</t>
  </si>
  <si>
    <t>Assumes evenings/weekends pace alongside full-time work. Phases overlap deliberately — order long-lead parts early. Durations are estimates; the exit criterion is what matters.</t>
  </si>
  <si>
    <t>#</t>
  </si>
  <si>
    <t>Phase</t>
  </si>
  <si>
    <t>Weeks</t>
  </si>
  <si>
    <t>Key tasks &amp; exit criteria</t>
  </si>
  <si>
    <t>Notes</t>
  </si>
  <si>
    <t>Recommendations</t>
  </si>
  <si>
    <t>1</t>
  </si>
  <si>
    <t>Finalize budget &amp; architecture</t>
  </si>
  <si>
    <t>1–2</t>
  </si>
  <si>
    <t>Fill this workbook with real masses; lock reach (400 mm), z-x-x-y-x-y joint layout, J2 ratio, J4–J6 actuator choice. Exit: every joint row reads PASS.</t>
  </si>
  <si>
    <t>J4 and J5 share a requirement (~0.45 Nm) — use the identical actuator + reducer for both, and ideally J6 too, for spare-parts commonality.</t>
  </si>
  <si>
    <t>Order long-lead parts NOW: mj5208s, r4.11s, heat spreaders, CAN-FD USB adapter, CF tube, bearings, small motors + moteus-c1s. Shipping is your critical path.</t>
  </si>
  <si>
    <t>2</t>
  </si>
  <si>
    <t>Single-joint bench test (mj5208 + 15:1 cycloidal)</t>
  </si>
  <si>
    <t>2–3</t>
  </si>
  <si>
    <t>Rig one joint with a weighted lever. Measure: continuous torque at thermal steady state (20+ min hold, log winding temp via moteus telemetry), gearbox efficiency, backlash, friction. Exit: measured values entered into the Torque Budget sheet.</t>
  </si>
  <si>
    <t>Validates the two biggest assumptions (0.3 Nm continuous, 0.80 efficiency). Printed cycloidal efficiency varies 0.60–0.90 with print quality and grease.</t>
  </si>
  <si>
    <t>Log via moteus telemetry — the same friction/backlash data becomes your sim parameters later. Compare PETG vs PLA cycloidal discs for wear while you're at it.</t>
  </si>
  <si>
    <t>3</t>
  </si>
  <si>
    <t>J4 roll joint + wrist prototype</t>
  </si>
  <si>
    <t>3–5</t>
  </si>
  <si>
    <t>Build the J4 forearm roll joint first — it's the novel one: small motor + moteus-c1 + hollow-bore (or belt-offset) reducer, with the distal wiring harness passing through. Then the 2-axis wrist. Exit: J4 holds 0.45 Nm with wiring routed and ±270° travel limits set; wrist cluster weighed at ≤ budget.</t>
  </si>
  <si>
    <t>The rotating wire pass-through is the highest-risk detail of this architecture. Prove it before committing to the forearm design. Set voltage_mode_control if gimbal current-sense torque is noisy.</t>
  </si>
  <si>
    <t>Give the harness a generous helical service loop through the J4 bore and enforce soft travel limits in moteus config. If J4 drags on, fall back to a smart-servo wrist and add the roll later.</t>
  </si>
  <si>
    <t>4</t>
  </si>
  <si>
    <t>Full arm CAD</t>
  </si>
  <si>
    <t>4–7</t>
  </si>
  <si>
    <t>Model complete arm incl. the J4 rotating interface, wiring routes, controller mounting, service loops. Pull mass properties into the Torque Budget sheet and iterate. Exit: budget still PASS with CAD masses + 10% contingency.</t>
  </si>
  <si>
    <t>Split-clamp CF tube fittings (bolted, not glued) let you change link lengths after testing. Bearings, not printed bores, on all moment-loaded interfaces — especially the J4 output, which sees the full forearm bending moment.</t>
  </si>
  <si>
    <t>Design so J4, J5, J6 axes intersect at one wrist-center point — that preserves closed-form IK (Pieper's condition). Add joint hard-stops so a runaway policy can't self-collide at full torque.</t>
  </si>
  <si>
    <t>5</t>
  </si>
  <si>
    <t>Electronics &amp; power integration</t>
  </si>
  <si>
    <t>6–8</t>
  </si>
  <si>
    <t>24 V PSU (~10–15 A), power distribution, daisy-chained CAN-FD through all 6 controllers + gripper, termination, physical e-stop cutting motor power. Exit: all nodes enumerate; 100 Hz command/telemetry loop stable from Jetson or PC.</t>
  </si>
  <si>
    <t>One mjcanfd-usb-1x handles the whole chain — r4.11 and c1 share the same bus, firmware, and API. Keep Jetson logic power separate from motor power.</t>
  </si>
  <si>
    <t>Add a bus voltage monitor: regen from decelerating joints pumps the rail up. Configure moteus flux braking before the first fast motion.</t>
  </si>
  <si>
    <t>6</t>
  </si>
  <si>
    <t>Fabrication &amp; assembly</t>
  </si>
  <si>
    <t>7–9</t>
  </si>
  <si>
    <t>Print structure (PETG for structural/heat-adjacent parts), cut tubes, assemble, torque-check fasteners. Exit: arm holds a static pose under closed-loop control without thermal throttling.</t>
  </si>
  <si>
    <t>Expect 2–3 reprints of joint housings; that's normal. Anneal or thicken parts near motor heat spreaders.</t>
  </si>
  <si>
    <t>Assemble and test joint-by-joint from the base up — much easier to isolate mechanical vs firmware issues.</t>
  </si>
  <si>
    <t>7</t>
  </si>
  <si>
    <t>Calibration &amp; controller tuning</t>
  </si>
  <si>
    <t>8–10</t>
  </si>
  <si>
    <t>Per-joint encoder calibration, direction/limit config, position + velocity + torque tuning, gravity compensation feedforward from this sheet's mass model. Exit: arm tracks smooth trajectories with 500 g payload, no overheating over a 15-min cycle.</t>
  </si>
  <si>
    <t>Gravity comp is nearly free — the mass/CG model is already in the Torque Budget sheet. It dramatically improves teleop feel and cuts steady-state heating.</t>
  </si>
  <si>
    <t>Add output-side AS5047 encoders (r4.11 aux SPI) on J2/J3 if cycloidal backlash exceeds ~0.5° — joint-side truth matters for RL state.</t>
  </si>
  <si>
    <t>8</t>
  </si>
  <si>
    <t>Software: driver + LeRobot integration</t>
  </si>
  <si>
    <t>9–11</t>
  </si>
  <si>
    <t>Python moteus driver wrapped in a LeRobot robot class; camera integration; teleop (leader arm, spacemouse, or keyboard). Exit: record a LeRobot dataset end-to-end with synced camera + joint states.</t>
  </si>
  <si>
    <t>You've already debugged the hard parts on the YAM arm — record-loop FPS, camera sync, and rerun latency lessons transfer directly.</t>
  </si>
  <si>
    <t>Run policy/teleop at 30–50 Hz; let moteus onboard loops handle high-rate control. Keep camera reads asynchronous from the record loop from day one this time.</t>
  </si>
  <si>
    <t>9</t>
  </si>
  <si>
    <t>Sim model &amp; system ID</t>
  </si>
  <si>
    <t>10–12</t>
  </si>
  <si>
    <t>Build URDF/MJCF from CAD; import to MuJoCo (and Isaac Lab for GPU sim); fit joint friction, damping, backlash from Phase 2/7 logs. Exit: sim joint step responses match hardware within ~10–15%.</t>
  </si>
  <si>
    <t>Printed cycloidal friction is the dominant sim-to-real gap — it's load-dependent, so fit at several torque levels. Note the wrist singularity at J5 = 0 (J4 and J6 axes align) — joint-space policies don't care, Cartesian teleop will.</t>
  </si>
  <si>
    <t>Export CAD with simplified collision meshes now; retrofitting them later is painful. Randomize friction/backlash in training rather than chasing a perfect fit.</t>
  </si>
  <si>
    <t>10</t>
  </si>
  <si>
    <t>First learning experiments</t>
  </si>
  <si>
    <t>12+</t>
  </si>
  <si>
    <t>Baseline tasks: reach, pick-place, peg-in-hole. Start with imitation learning (ACT/diffusion policy on teleop demos), then RL fine-tuning in sim.</t>
  </si>
  <si>
    <t>Train on the gaming PC (RAM/GPU matter for training); Jetson for deployment/inference only.</t>
  </si>
  <si>
    <t>Start with IL from ~50 teleop demos before any RL — it validates the whole platform with far less debugging surface than sim-to-real RL.</t>
  </si>
  <si>
    <t>Qty</t>
  </si>
  <si>
    <t>Item</t>
  </si>
  <si>
    <t>BOM Level</t>
  </si>
  <si>
    <t>Additional Information</t>
  </si>
  <si>
    <t>moteus-c1</t>
  </si>
  <si>
    <t>moteus r4 heat spreader</t>
  </si>
  <si>
    <t>moteus r4.11 controller</t>
  </si>
  <si>
    <t>mj5208 brushless motor</t>
  </si>
  <si>
    <t>link</t>
  </si>
  <si>
    <t>moteus r4.11 developer kit</t>
  </si>
  <si>
    <t>SteadyWin GIM3505-8 Planetary Reducer Motor</t>
  </si>
  <si>
    <t>Purchase V1.0</t>
  </si>
  <si>
    <t>Here</t>
  </si>
  <si>
    <t>Total</t>
  </si>
  <si>
    <t>N/A</t>
  </si>
  <si>
    <t>s</t>
  </si>
  <si>
    <t>Price per Unit</t>
  </si>
  <si>
    <t>Ordered On</t>
  </si>
  <si>
    <t>(only ordered 1)</t>
  </si>
  <si>
    <t>shipping 11.07</t>
  </si>
  <si>
    <t>shipping 30</t>
  </si>
  <si>
    <t>#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</si>
</sst>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3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2" fontId="5" fillId="0" borderId="0" xfId="0" applyNumberFormat="1" applyFont="1"/>
    <xf numFmtId="165" fontId="5" fillId="3" borderId="0" xfId="0" applyNumberFormat="1" applyFont="1" applyFill="1"/>
    <xf numFmtId="1" fontId="5" fillId="0" borderId="0" xfId="0" applyNumberFormat="1" applyFont="1"/>
    <xf numFmtId="2" fontId="5" fillId="3" borderId="0" xfId="0" applyNumberFormat="1" applyFont="1" applyFill="1"/>
    <xf numFmtId="1" fontId="5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/>
    <xf numFmtId="0" fontId="4" fillId="5" borderId="1" xfId="0" applyFont="1" applyFill="1" applyBorder="1"/>
    <xf numFmtId="2" fontId="6" fillId="5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5" borderId="0" xfId="0" applyFont="1" applyFill="1"/>
    <xf numFmtId="2" fontId="6" fillId="5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9" fillId="6" borderId="2" xfId="0" applyFont="1" applyFill="1" applyBorder="1" applyAlignment="1">
      <alignment horizontal="center"/>
    </xf>
    <xf numFmtId="0" fontId="9" fillId="6" borderId="2" xfId="0" applyFont="1" applyFill="1" applyBorder="1"/>
    <xf numFmtId="44" fontId="0" fillId="0" borderId="2" xfId="1" applyFont="1" applyBorder="1"/>
    <xf numFmtId="0" fontId="0" fillId="0" borderId="2" xfId="0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3" fillId="2" borderId="0" xfId="0" applyFont="1" applyFill="1"/>
    <xf numFmtId="0" fontId="0" fillId="0" borderId="0" xfId="0" applyAlignment="1"/>
    <xf numFmtId="0" fontId="0" fillId="7" borderId="2" xfId="0" applyFill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0" fontId="8" fillId="7" borderId="2" xfId="2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44" fontId="0" fillId="8" borderId="2" xfId="1" applyFont="1" applyFill="1" applyBorder="1" applyAlignment="1">
      <alignment horizontal="center"/>
    </xf>
    <xf numFmtId="0" fontId="8" fillId="8" borderId="2" xfId="2" applyFill="1" applyBorder="1" applyAlignment="1">
      <alignment horizontal="center"/>
    </xf>
    <xf numFmtId="0" fontId="0" fillId="0" borderId="2" xfId="0" applyBorder="1" applyAlignment="1"/>
    <xf numFmtId="14" fontId="0" fillId="0" borderId="2" xfId="0" applyNumberFormat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0" fontId="0" fillId="7" borderId="2" xfId="0" applyFill="1" applyBorder="1" applyAlignment="1"/>
  </cellXfs>
  <cellStyles count="3">
    <cellStyle name="Currency" xfId="1" builtinId="4"/>
    <cellStyle name="Hyperlink" xfId="2" builtinId="8"/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fitlab.com/products/steadywin-gim3505-8-planetary-reducer-servo-motor?variant=44388211785864" TargetMode="External"/><Relationship Id="rId2" Type="http://schemas.openxmlformats.org/officeDocument/2006/relationships/hyperlink" Target="https://mjbots.com/products/moteus-r4-11-developer-kit" TargetMode="External"/><Relationship Id="rId1" Type="http://schemas.openxmlformats.org/officeDocument/2006/relationships/hyperlink" Target="https://mjbots.com/products/moteus-r4-11?variant=41896124154017" TargetMode="External"/><Relationship Id="rId6" Type="http://schemas.openxmlformats.org/officeDocument/2006/relationships/hyperlink" Target="https://mjbots.com/products/moteus-c1?variant=43658365927585" TargetMode="External"/><Relationship Id="rId5" Type="http://schemas.openxmlformats.org/officeDocument/2006/relationships/hyperlink" Target="https://mjbots.com/products/moteus-heat-spreader?variant=37322050437281" TargetMode="External"/><Relationship Id="rId4" Type="http://schemas.openxmlformats.org/officeDocument/2006/relationships/hyperlink" Target="https://mjbots.com/products/mj5208?variant=37262679900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showGridLines="0" tabSelected="1" zoomScaleNormal="100" workbookViewId="0">
      <selection activeCell="N40" sqref="N40"/>
    </sheetView>
  </sheetViews>
  <sheetFormatPr defaultColWidth="8.7109375" defaultRowHeight="15" x14ac:dyDescent="0.25"/>
  <cols>
    <col min="1" max="1" width="45.85546875" customWidth="1"/>
    <col min="2" max="2" width="12" customWidth="1"/>
    <col min="3" max="3" width="10" customWidth="1"/>
    <col min="4" max="4" width="14" customWidth="1"/>
    <col min="5" max="6" width="16" customWidth="1"/>
    <col min="7" max="7" width="13" customWidth="1"/>
    <col min="8" max="8" width="14" customWidth="1"/>
    <col min="9" max="9" width="62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4" spans="1:9" x14ac:dyDescent="0.25">
      <c r="A4" s="36" t="s">
        <v>2</v>
      </c>
      <c r="B4" s="36"/>
      <c r="C4" s="36"/>
      <c r="D4" s="36"/>
      <c r="E4" s="36"/>
      <c r="F4" s="36"/>
      <c r="G4" s="36"/>
      <c r="H4" s="36"/>
      <c r="I4" s="36"/>
    </row>
    <row r="5" spans="1:9" x14ac:dyDescent="0.25">
      <c r="A5" s="3" t="s">
        <v>3</v>
      </c>
      <c r="B5" s="4">
        <v>0.16</v>
      </c>
      <c r="C5" s="3" t="s">
        <v>4</v>
      </c>
    </row>
    <row r="6" spans="1:9" x14ac:dyDescent="0.25">
      <c r="A6" s="3" t="s">
        <v>5</v>
      </c>
      <c r="B6" s="4">
        <v>0.16</v>
      </c>
      <c r="C6" s="3" t="s">
        <v>4</v>
      </c>
    </row>
    <row r="7" spans="1:9" x14ac:dyDescent="0.25">
      <c r="A7" s="3" t="s">
        <v>6</v>
      </c>
      <c r="B7" s="4">
        <v>0.08</v>
      </c>
      <c r="C7" s="3" t="s">
        <v>4</v>
      </c>
      <c r="I7" s="2" t="s">
        <v>7</v>
      </c>
    </row>
    <row r="8" spans="1:9" x14ac:dyDescent="0.25">
      <c r="A8" s="3" t="s">
        <v>8</v>
      </c>
      <c r="B8" s="4">
        <v>0.03</v>
      </c>
      <c r="C8" s="3" t="s">
        <v>4</v>
      </c>
      <c r="I8" s="2" t="s">
        <v>9</v>
      </c>
    </row>
    <row r="9" spans="1:9" x14ac:dyDescent="0.25">
      <c r="A9" s="5" t="s">
        <v>10</v>
      </c>
      <c r="B9" s="6">
        <f>B5+B6+B7</f>
        <v>0.4</v>
      </c>
      <c r="C9" s="3" t="s">
        <v>4</v>
      </c>
      <c r="I9" s="2" t="s">
        <v>11</v>
      </c>
    </row>
    <row r="11" spans="1:9" x14ac:dyDescent="0.25">
      <c r="A11" s="36" t="s">
        <v>12</v>
      </c>
      <c r="B11" s="36"/>
      <c r="C11" s="36"/>
      <c r="D11" s="36"/>
      <c r="E11" s="36"/>
      <c r="F11" s="36"/>
      <c r="G11" s="36"/>
      <c r="H11" s="36"/>
      <c r="I11" s="36"/>
    </row>
    <row r="12" spans="1:9" x14ac:dyDescent="0.25">
      <c r="A12" s="3" t="s">
        <v>13</v>
      </c>
      <c r="B12" s="4">
        <v>0.35</v>
      </c>
      <c r="C12" s="3" t="s">
        <v>14</v>
      </c>
      <c r="I12" s="2" t="s">
        <v>15</v>
      </c>
    </row>
    <row r="13" spans="1:9" x14ac:dyDescent="0.25">
      <c r="A13" s="3" t="s">
        <v>16</v>
      </c>
      <c r="B13" s="4">
        <v>0.12</v>
      </c>
      <c r="C13" s="3" t="s">
        <v>14</v>
      </c>
      <c r="I13" s="2" t="s">
        <v>17</v>
      </c>
    </row>
    <row r="14" spans="1:9" x14ac:dyDescent="0.25">
      <c r="A14" s="3" t="s">
        <v>18</v>
      </c>
      <c r="B14" s="4">
        <v>0.22</v>
      </c>
      <c r="C14" s="3" t="s">
        <v>14</v>
      </c>
      <c r="I14" s="2" t="s">
        <v>19</v>
      </c>
    </row>
    <row r="15" spans="1:9" x14ac:dyDescent="0.25">
      <c r="A15" s="3" t="s">
        <v>20</v>
      </c>
      <c r="B15" s="4">
        <v>0.15</v>
      </c>
      <c r="C15" s="3" t="s">
        <v>14</v>
      </c>
      <c r="I15" s="2" t="s">
        <v>21</v>
      </c>
    </row>
    <row r="16" spans="1:9" x14ac:dyDescent="0.25">
      <c r="A16" s="3" t="s">
        <v>22</v>
      </c>
      <c r="B16" s="4">
        <v>0.2</v>
      </c>
      <c r="C16" s="3" t="s">
        <v>14</v>
      </c>
      <c r="I16" s="2" t="s">
        <v>23</v>
      </c>
    </row>
    <row r="17" spans="1:9" x14ac:dyDescent="0.25">
      <c r="A17" s="3" t="s">
        <v>24</v>
      </c>
      <c r="B17" s="4">
        <v>0.06</v>
      </c>
      <c r="C17" s="3" t="s">
        <v>14</v>
      </c>
    </row>
    <row r="18" spans="1:9" x14ac:dyDescent="0.25">
      <c r="A18" s="3" t="s">
        <v>25</v>
      </c>
      <c r="B18" s="4">
        <v>0.06</v>
      </c>
      <c r="C18" s="3" t="s">
        <v>14</v>
      </c>
      <c r="I18" s="2" t="s">
        <v>26</v>
      </c>
    </row>
    <row r="20" spans="1:9" x14ac:dyDescent="0.25">
      <c r="A20" s="36" t="s">
        <v>27</v>
      </c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" t="s">
        <v>28</v>
      </c>
      <c r="B21" s="7">
        <v>9.81</v>
      </c>
      <c r="C21" s="3" t="s">
        <v>29</v>
      </c>
    </row>
    <row r="22" spans="1:9" x14ac:dyDescent="0.25">
      <c r="A22" s="3" t="s">
        <v>30</v>
      </c>
      <c r="B22" s="8">
        <v>1.5</v>
      </c>
      <c r="I22" s="2" t="s">
        <v>31</v>
      </c>
    </row>
    <row r="24" spans="1:9" x14ac:dyDescent="0.25">
      <c r="A24" s="36" t="s">
        <v>32</v>
      </c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" t="s">
        <v>33</v>
      </c>
      <c r="B25" s="7">
        <v>0.3</v>
      </c>
      <c r="C25" s="3" t="s">
        <v>34</v>
      </c>
      <c r="I25" s="2" t="s">
        <v>35</v>
      </c>
    </row>
    <row r="26" spans="1:9" x14ac:dyDescent="0.25">
      <c r="A26" s="3" t="s">
        <v>36</v>
      </c>
      <c r="B26" s="7">
        <v>1.7</v>
      </c>
      <c r="C26" s="3" t="s">
        <v>34</v>
      </c>
      <c r="I26" s="2" t="s">
        <v>37</v>
      </c>
    </row>
    <row r="27" spans="1:9" x14ac:dyDescent="0.25">
      <c r="A27" s="3" t="s">
        <v>38</v>
      </c>
      <c r="B27" s="9">
        <v>240</v>
      </c>
      <c r="C27" s="3" t="s">
        <v>39</v>
      </c>
      <c r="I27" s="2" t="s">
        <v>40</v>
      </c>
    </row>
    <row r="28" spans="1:9" x14ac:dyDescent="0.25">
      <c r="A28" s="3" t="s">
        <v>41</v>
      </c>
      <c r="B28" s="10">
        <v>0.6</v>
      </c>
      <c r="C28" s="3" t="s">
        <v>42</v>
      </c>
      <c r="I28" s="2" t="s">
        <v>43</v>
      </c>
    </row>
    <row r="29" spans="1:9" x14ac:dyDescent="0.25">
      <c r="A29" s="3" t="s">
        <v>44</v>
      </c>
      <c r="B29" s="9">
        <v>15</v>
      </c>
      <c r="C29" s="3" t="s">
        <v>45</v>
      </c>
      <c r="I29" s="2" t="s">
        <v>46</v>
      </c>
    </row>
    <row r="30" spans="1:9" x14ac:dyDescent="0.25">
      <c r="A30" s="3" t="s">
        <v>47</v>
      </c>
      <c r="B30" s="11">
        <v>30</v>
      </c>
      <c r="C30" s="3" t="s">
        <v>45</v>
      </c>
      <c r="I30" s="2" t="s">
        <v>48</v>
      </c>
    </row>
    <row r="31" spans="1:9" x14ac:dyDescent="0.25">
      <c r="A31" s="3" t="s">
        <v>49</v>
      </c>
      <c r="B31" s="9">
        <v>15</v>
      </c>
      <c r="C31" s="3" t="s">
        <v>45</v>
      </c>
      <c r="I31" s="2" t="s">
        <v>50</v>
      </c>
    </row>
    <row r="32" spans="1:9" x14ac:dyDescent="0.25">
      <c r="A32" s="3" t="s">
        <v>51</v>
      </c>
      <c r="B32" s="7">
        <v>0.2</v>
      </c>
      <c r="C32" s="3" t="s">
        <v>34</v>
      </c>
      <c r="I32" s="2" t="s">
        <v>52</v>
      </c>
    </row>
    <row r="33" spans="1:9" x14ac:dyDescent="0.25">
      <c r="A33" s="3" t="s">
        <v>53</v>
      </c>
      <c r="B33" s="9">
        <v>5</v>
      </c>
      <c r="C33" s="3" t="s">
        <v>45</v>
      </c>
      <c r="I33" s="2" t="s">
        <v>54</v>
      </c>
    </row>
    <row r="34" spans="1:9" x14ac:dyDescent="0.25">
      <c r="A34" s="3" t="s">
        <v>55</v>
      </c>
      <c r="B34" s="10">
        <v>0.85</v>
      </c>
      <c r="C34" s="3" t="s">
        <v>42</v>
      </c>
    </row>
    <row r="36" spans="1:9" x14ac:dyDescent="0.25">
      <c r="A36" s="36" t="s">
        <v>56</v>
      </c>
      <c r="B36" s="36"/>
      <c r="C36" s="36"/>
      <c r="D36" s="36"/>
      <c r="E36" s="36"/>
      <c r="F36" s="36"/>
      <c r="G36" s="36"/>
      <c r="H36" s="36"/>
      <c r="I36" s="36"/>
    </row>
    <row r="37" spans="1:9" ht="25.5" x14ac:dyDescent="0.25">
      <c r="A37" s="12" t="s">
        <v>57</v>
      </c>
      <c r="B37" s="12" t="s">
        <v>58</v>
      </c>
      <c r="C37" s="12"/>
      <c r="D37" s="12" t="s">
        <v>59</v>
      </c>
      <c r="E37" s="12" t="s">
        <v>60</v>
      </c>
      <c r="F37" s="12" t="s">
        <v>61</v>
      </c>
      <c r="G37" s="12" t="s">
        <v>62</v>
      </c>
    </row>
    <row r="38" spans="1:9" x14ac:dyDescent="0.25">
      <c r="A38" s="13" t="s">
        <v>63</v>
      </c>
      <c r="B38" s="14">
        <f>B17</f>
        <v>0.06</v>
      </c>
      <c r="D38" s="14">
        <f>B5/2</f>
        <v>0.08</v>
      </c>
      <c r="E38" s="15" t="s">
        <v>64</v>
      </c>
      <c r="F38" s="16">
        <f t="shared" ref="F38:F44" si="0">B38*$B$21*D38</f>
        <v>4.7088000000000005E-2</v>
      </c>
      <c r="G38" s="16">
        <v>0</v>
      </c>
    </row>
    <row r="39" spans="1:9" x14ac:dyDescent="0.25">
      <c r="A39" s="13" t="s">
        <v>65</v>
      </c>
      <c r="B39" s="14">
        <f>B12</f>
        <v>0.35</v>
      </c>
      <c r="D39" s="14">
        <f>B5</f>
        <v>0.16</v>
      </c>
      <c r="E39" s="15" t="s">
        <v>64</v>
      </c>
      <c r="F39" s="16">
        <f t="shared" si="0"/>
        <v>0.54935999999999996</v>
      </c>
      <c r="G39" s="16">
        <v>0</v>
      </c>
    </row>
    <row r="40" spans="1:9" x14ac:dyDescent="0.25">
      <c r="A40" s="13" t="s">
        <v>66</v>
      </c>
      <c r="B40" s="14">
        <f>B13</f>
        <v>0.12</v>
      </c>
      <c r="D40" s="14">
        <f>B5+B8</f>
        <v>0.19</v>
      </c>
      <c r="E40" s="14">
        <f>B8</f>
        <v>0.03</v>
      </c>
      <c r="F40" s="16">
        <f t="shared" si="0"/>
        <v>0.22366800000000001</v>
      </c>
      <c r="G40" s="16">
        <f>B40*$B$21*E40</f>
        <v>3.5316E-2</v>
      </c>
    </row>
    <row r="41" spans="1:9" x14ac:dyDescent="0.25">
      <c r="A41" s="13" t="s">
        <v>67</v>
      </c>
      <c r="B41" s="14">
        <f>B18</f>
        <v>0.06</v>
      </c>
      <c r="D41" s="14">
        <f>B5+B6/2</f>
        <v>0.24</v>
      </c>
      <c r="E41" s="14">
        <f>B6/2</f>
        <v>0.08</v>
      </c>
      <c r="F41" s="16">
        <f t="shared" si="0"/>
        <v>0.141264</v>
      </c>
      <c r="G41" s="16">
        <f>B41*$B$21*E41</f>
        <v>4.7088000000000005E-2</v>
      </c>
    </row>
    <row r="42" spans="1:9" x14ac:dyDescent="0.25">
      <c r="A42" s="13" t="s">
        <v>68</v>
      </c>
      <c r="B42" s="14">
        <f>B14</f>
        <v>0.22</v>
      </c>
      <c r="D42" s="14">
        <f>B5+B6</f>
        <v>0.32</v>
      </c>
      <c r="E42" s="14">
        <f>B6</f>
        <v>0.16</v>
      </c>
      <c r="F42" s="16">
        <f t="shared" si="0"/>
        <v>0.69062400000000013</v>
      </c>
      <c r="G42" s="16">
        <f>B42*$B$21*E42</f>
        <v>0.34531200000000006</v>
      </c>
    </row>
    <row r="43" spans="1:9" x14ac:dyDescent="0.25">
      <c r="A43" s="13" t="s">
        <v>69</v>
      </c>
      <c r="B43" s="14">
        <f>B15</f>
        <v>0.15</v>
      </c>
      <c r="D43" s="14">
        <f>B5+B6+B7/2</f>
        <v>0.36</v>
      </c>
      <c r="E43" s="14">
        <f>B6+B7/2</f>
        <v>0.2</v>
      </c>
      <c r="F43" s="16">
        <f t="shared" si="0"/>
        <v>0.52973999999999999</v>
      </c>
      <c r="G43" s="16">
        <f>B43*$B$21*E43</f>
        <v>0.29430000000000001</v>
      </c>
    </row>
    <row r="44" spans="1:9" x14ac:dyDescent="0.25">
      <c r="A44" s="13" t="s">
        <v>70</v>
      </c>
      <c r="B44" s="14">
        <f>B16</f>
        <v>0.2</v>
      </c>
      <c r="D44" s="14">
        <f>B5+B6+B7</f>
        <v>0.4</v>
      </c>
      <c r="E44" s="14">
        <f>B6+B7</f>
        <v>0.24</v>
      </c>
      <c r="F44" s="16">
        <f t="shared" si="0"/>
        <v>0.78480000000000016</v>
      </c>
      <c r="G44" s="16">
        <f>B44*$B$21*E44</f>
        <v>0.47088000000000002</v>
      </c>
    </row>
    <row r="45" spans="1:9" x14ac:dyDescent="0.25">
      <c r="A45" s="17" t="s">
        <v>71</v>
      </c>
      <c r="B45" s="18"/>
      <c r="D45" s="18"/>
      <c r="E45" s="18"/>
      <c r="F45" s="19">
        <f>SUM(F38:F44)</f>
        <v>2.9665440000000003</v>
      </c>
      <c r="G45" s="19">
        <f>SUM(G38:G44)</f>
        <v>1.1928960000000002</v>
      </c>
    </row>
    <row r="47" spans="1:9" x14ac:dyDescent="0.25">
      <c r="A47" s="36" t="s">
        <v>72</v>
      </c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" t="s">
        <v>73</v>
      </c>
      <c r="F48" s="20">
        <f>B15*$B$21*(B7/2)</f>
        <v>5.8860000000000003E-2</v>
      </c>
    </row>
    <row r="49" spans="1:9" x14ac:dyDescent="0.25">
      <c r="A49" s="3" t="s">
        <v>74</v>
      </c>
      <c r="F49" s="20">
        <f>B16*$B$21*B7</f>
        <v>0.15696000000000002</v>
      </c>
    </row>
    <row r="50" spans="1:9" x14ac:dyDescent="0.25">
      <c r="A50" s="21" t="s">
        <v>75</v>
      </c>
      <c r="F50" s="22">
        <f>F48+F49</f>
        <v>0.21582000000000001</v>
      </c>
      <c r="I50" s="2" t="s">
        <v>76</v>
      </c>
    </row>
    <row r="52" spans="1:9" x14ac:dyDescent="0.25">
      <c r="A52" s="36" t="s">
        <v>77</v>
      </c>
      <c r="B52" s="36"/>
      <c r="C52" s="36"/>
      <c r="D52" s="36"/>
      <c r="E52" s="36"/>
      <c r="F52" s="36"/>
      <c r="G52" s="36"/>
      <c r="H52" s="36"/>
      <c r="I52" s="36"/>
    </row>
    <row r="53" spans="1:9" ht="25.5" x14ac:dyDescent="0.25">
      <c r="A53" s="12" t="s">
        <v>78</v>
      </c>
      <c r="B53" s="12" t="s">
        <v>79</v>
      </c>
      <c r="C53" s="12" t="s">
        <v>80</v>
      </c>
      <c r="D53" s="12" t="s">
        <v>81</v>
      </c>
      <c r="E53" s="12" t="s">
        <v>82</v>
      </c>
      <c r="F53" s="12" t="s">
        <v>83</v>
      </c>
      <c r="G53" s="12" t="s">
        <v>84</v>
      </c>
      <c r="H53" s="12" t="s">
        <v>85</v>
      </c>
      <c r="I53" s="12" t="s">
        <v>86</v>
      </c>
    </row>
    <row r="54" spans="1:9" x14ac:dyDescent="0.25">
      <c r="A54" s="13" t="s">
        <v>87</v>
      </c>
      <c r="B54" s="23">
        <v>0.5</v>
      </c>
      <c r="C54" s="16">
        <f t="shared" ref="C54:C59" si="1">B54*$B$22</f>
        <v>0.75</v>
      </c>
      <c r="D54" s="24">
        <f>B29</f>
        <v>15</v>
      </c>
      <c r="E54" s="16">
        <f>B25*B29*B28</f>
        <v>2.6999999999999997</v>
      </c>
      <c r="F54" s="16">
        <f t="shared" ref="F54:F59" si="2">E54/C54</f>
        <v>3.5999999999999996</v>
      </c>
      <c r="G54" s="25" t="str">
        <f t="shared" ref="G54:G59" si="3">IF(F54&gt;=1,"PASS",IF(F54&gt;=0.85,"MARGINAL","UNDERSIZED"))</f>
        <v>PASS</v>
      </c>
      <c r="H54" s="26">
        <f>B26*B29*B28</f>
        <v>15.299999999999999</v>
      </c>
      <c r="I54" s="24">
        <f>B27/B29*6</f>
        <v>96</v>
      </c>
    </row>
    <row r="55" spans="1:9" x14ac:dyDescent="0.25">
      <c r="A55" s="13" t="s">
        <v>88</v>
      </c>
      <c r="B55" s="16">
        <f>F45</f>
        <v>2.9665440000000003</v>
      </c>
      <c r="C55" s="16">
        <f t="shared" si="1"/>
        <v>4.4498160000000002</v>
      </c>
      <c r="D55" s="24">
        <f>B30</f>
        <v>30</v>
      </c>
      <c r="E55" s="16">
        <f>B25*B30*B28</f>
        <v>5.3999999999999995</v>
      </c>
      <c r="F55" s="16">
        <f t="shared" si="2"/>
        <v>1.2135333236250665</v>
      </c>
      <c r="G55" s="25" t="str">
        <f t="shared" si="3"/>
        <v>PASS</v>
      </c>
      <c r="H55" s="26">
        <f>B26*B30*B28</f>
        <v>30.599999999999998</v>
      </c>
      <c r="I55" s="24">
        <f>B27/B30*6</f>
        <v>48</v>
      </c>
    </row>
    <row r="56" spans="1:9" x14ac:dyDescent="0.25">
      <c r="A56" s="13" t="s">
        <v>89</v>
      </c>
      <c r="B56" s="16">
        <f>G45</f>
        <v>1.1928960000000002</v>
      </c>
      <c r="C56" s="16">
        <f t="shared" si="1"/>
        <v>1.7893440000000003</v>
      </c>
      <c r="D56" s="24">
        <f>B31</f>
        <v>15</v>
      </c>
      <c r="E56" s="16">
        <f>B25*B31*B28</f>
        <v>2.6999999999999997</v>
      </c>
      <c r="F56" s="16">
        <f t="shared" si="2"/>
        <v>1.5089328826653787</v>
      </c>
      <c r="G56" s="25" t="str">
        <f t="shared" si="3"/>
        <v>PASS</v>
      </c>
      <c r="H56" s="26">
        <f>B26*B31*B28</f>
        <v>15.299999999999999</v>
      </c>
      <c r="I56" s="24">
        <f>B27/B31*6</f>
        <v>96</v>
      </c>
    </row>
    <row r="57" spans="1:9" x14ac:dyDescent="0.25">
      <c r="A57" s="13" t="s">
        <v>90</v>
      </c>
      <c r="B57" s="16">
        <f>F50</f>
        <v>0.21582000000000001</v>
      </c>
      <c r="C57" s="16">
        <f t="shared" si="1"/>
        <v>0.32373000000000002</v>
      </c>
      <c r="D57" s="24">
        <f>B33</f>
        <v>5</v>
      </c>
      <c r="E57" s="16">
        <f>B32*B33*B34</f>
        <v>0.85</v>
      </c>
      <c r="F57" s="16">
        <f t="shared" si="2"/>
        <v>2.6256448274796895</v>
      </c>
      <c r="G57" s="25" t="str">
        <f t="shared" si="3"/>
        <v>PASS</v>
      </c>
      <c r="H57" s="15" t="s">
        <v>64</v>
      </c>
      <c r="I57" s="13"/>
    </row>
    <row r="58" spans="1:9" x14ac:dyDescent="0.25">
      <c r="A58" s="13" t="s">
        <v>91</v>
      </c>
      <c r="B58" s="16">
        <f>F50</f>
        <v>0.21582000000000001</v>
      </c>
      <c r="C58" s="16">
        <f t="shared" si="1"/>
        <v>0.32373000000000002</v>
      </c>
      <c r="D58" s="24">
        <f>B33</f>
        <v>5</v>
      </c>
      <c r="E58" s="16">
        <f>B32*B33*B34</f>
        <v>0.85</v>
      </c>
      <c r="F58" s="16">
        <f t="shared" si="2"/>
        <v>2.6256448274796895</v>
      </c>
      <c r="G58" s="25" t="str">
        <f t="shared" si="3"/>
        <v>PASS</v>
      </c>
      <c r="H58" s="15" t="s">
        <v>64</v>
      </c>
      <c r="I58" s="13"/>
    </row>
    <row r="59" spans="1:9" x14ac:dyDescent="0.25">
      <c r="A59" s="13" t="s">
        <v>92</v>
      </c>
      <c r="B59" s="23">
        <v>0.15</v>
      </c>
      <c r="C59" s="16">
        <f t="shared" si="1"/>
        <v>0.22499999999999998</v>
      </c>
      <c r="D59" s="24">
        <f>B33</f>
        <v>5</v>
      </c>
      <c r="E59" s="16">
        <f>B32*B33*B34</f>
        <v>0.85</v>
      </c>
      <c r="F59" s="16">
        <f t="shared" si="2"/>
        <v>3.7777777777777781</v>
      </c>
      <c r="G59" s="25" t="str">
        <f t="shared" si="3"/>
        <v>PASS</v>
      </c>
      <c r="H59" s="15" t="s">
        <v>64</v>
      </c>
      <c r="I59" s="13"/>
    </row>
    <row r="61" spans="1:9" x14ac:dyDescent="0.25">
      <c r="A61" s="5" t="s">
        <v>93</v>
      </c>
    </row>
    <row r="62" spans="1:9" x14ac:dyDescent="0.25">
      <c r="A62" s="2" t="s">
        <v>94</v>
      </c>
    </row>
    <row r="63" spans="1:9" x14ac:dyDescent="0.25">
      <c r="A63" s="2" t="s">
        <v>95</v>
      </c>
    </row>
    <row r="64" spans="1:9" x14ac:dyDescent="0.25">
      <c r="A64" s="2" t="s">
        <v>96</v>
      </c>
    </row>
    <row r="65" spans="1:1" x14ac:dyDescent="0.25">
      <c r="A65" s="2" t="s">
        <v>97</v>
      </c>
    </row>
    <row r="66" spans="1:1" x14ac:dyDescent="0.25">
      <c r="A66" s="2" t="s">
        <v>98</v>
      </c>
    </row>
    <row r="67" spans="1:1" x14ac:dyDescent="0.25">
      <c r="A67" s="2" t="s">
        <v>99</v>
      </c>
    </row>
  </sheetData>
  <mergeCells count="7">
    <mergeCell ref="A47:I47"/>
    <mergeCell ref="A52:I52"/>
    <mergeCell ref="A4:I4"/>
    <mergeCell ref="A11:I11"/>
    <mergeCell ref="A20:I20"/>
    <mergeCell ref="A24:I24"/>
    <mergeCell ref="A36:I36"/>
  </mergeCells>
  <conditionalFormatting sqref="G54:G59">
    <cfRule type="cellIs" dxfId="2" priority="2" operator="equal">
      <formula>"PASS"</formula>
    </cfRule>
    <cfRule type="cellIs" dxfId="1" priority="3" operator="equal">
      <formula>"MARGINAL"</formula>
    </cfRule>
    <cfRule type="cellIs" dxfId="0" priority="4" operator="equal">
      <formula>"UNDERSIZED"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Normal="100" workbookViewId="0">
      <selection activeCell="J7" sqref="J7"/>
    </sheetView>
  </sheetViews>
  <sheetFormatPr defaultColWidth="8.7109375" defaultRowHeight="15" x14ac:dyDescent="0.25"/>
  <cols>
    <col min="1" max="1" width="6" customWidth="1"/>
    <col min="2" max="2" width="30" customWidth="1"/>
    <col min="3" max="3" width="10" customWidth="1"/>
    <col min="4" max="4" width="52" customWidth="1"/>
    <col min="5" max="5" width="44" customWidth="1"/>
    <col min="6" max="6" width="56" customWidth="1"/>
  </cols>
  <sheetData>
    <row r="1" spans="1:6" ht="16.5" x14ac:dyDescent="0.25">
      <c r="A1" s="1" t="s">
        <v>100</v>
      </c>
    </row>
    <row r="2" spans="1:6" x14ac:dyDescent="0.25">
      <c r="A2" s="2" t="s">
        <v>101</v>
      </c>
    </row>
    <row r="4" spans="1:6" x14ac:dyDescent="0.25">
      <c r="A4" s="27" t="s">
        <v>102</v>
      </c>
      <c r="B4" s="27" t="s">
        <v>103</v>
      </c>
      <c r="C4" s="27" t="s">
        <v>104</v>
      </c>
      <c r="D4" s="27" t="s">
        <v>105</v>
      </c>
      <c r="E4" s="27" t="s">
        <v>106</v>
      </c>
      <c r="F4" s="27" t="s">
        <v>107</v>
      </c>
    </row>
    <row r="5" spans="1:6" ht="38.25" x14ac:dyDescent="0.25">
      <c r="A5" s="28" t="s">
        <v>108</v>
      </c>
      <c r="B5" s="29" t="s">
        <v>109</v>
      </c>
      <c r="C5" s="28" t="s">
        <v>110</v>
      </c>
      <c r="D5" s="30" t="s">
        <v>111</v>
      </c>
      <c r="E5" s="30" t="s">
        <v>112</v>
      </c>
      <c r="F5" s="30" t="s">
        <v>113</v>
      </c>
    </row>
    <row r="6" spans="1:6" ht="63.75" x14ac:dyDescent="0.25">
      <c r="A6" s="28" t="s">
        <v>114</v>
      </c>
      <c r="B6" s="29" t="s">
        <v>115</v>
      </c>
      <c r="C6" s="28" t="s">
        <v>116</v>
      </c>
      <c r="D6" s="30" t="s">
        <v>117</v>
      </c>
      <c r="E6" s="30" t="s">
        <v>118</v>
      </c>
      <c r="F6" s="30" t="s">
        <v>119</v>
      </c>
    </row>
    <row r="7" spans="1:6" ht="63.75" x14ac:dyDescent="0.25">
      <c r="A7" s="28" t="s">
        <v>120</v>
      </c>
      <c r="B7" s="29" t="s">
        <v>121</v>
      </c>
      <c r="C7" s="28" t="s">
        <v>122</v>
      </c>
      <c r="D7" s="30" t="s">
        <v>123</v>
      </c>
      <c r="E7" s="30" t="s">
        <v>124</v>
      </c>
      <c r="F7" s="30" t="s">
        <v>125</v>
      </c>
    </row>
    <row r="8" spans="1:6" ht="63.75" x14ac:dyDescent="0.25">
      <c r="A8" s="28" t="s">
        <v>126</v>
      </c>
      <c r="B8" s="29" t="s">
        <v>127</v>
      </c>
      <c r="C8" s="28" t="s">
        <v>128</v>
      </c>
      <c r="D8" s="30" t="s">
        <v>129</v>
      </c>
      <c r="E8" s="30" t="s">
        <v>130</v>
      </c>
      <c r="F8" s="30" t="s">
        <v>131</v>
      </c>
    </row>
    <row r="9" spans="1:6" ht="63.75" x14ac:dyDescent="0.25">
      <c r="A9" s="28" t="s">
        <v>132</v>
      </c>
      <c r="B9" s="29" t="s">
        <v>133</v>
      </c>
      <c r="C9" s="28" t="s">
        <v>134</v>
      </c>
      <c r="D9" s="30" t="s">
        <v>135</v>
      </c>
      <c r="E9" s="30" t="s">
        <v>136</v>
      </c>
      <c r="F9" s="30" t="s">
        <v>137</v>
      </c>
    </row>
    <row r="10" spans="1:6" ht="51" x14ac:dyDescent="0.25">
      <c r="A10" s="28" t="s">
        <v>138</v>
      </c>
      <c r="B10" s="29" t="s">
        <v>139</v>
      </c>
      <c r="C10" s="28" t="s">
        <v>140</v>
      </c>
      <c r="D10" s="30" t="s">
        <v>141</v>
      </c>
      <c r="E10" s="30" t="s">
        <v>142</v>
      </c>
      <c r="F10" s="30" t="s">
        <v>143</v>
      </c>
    </row>
    <row r="11" spans="1:6" ht="63.75" x14ac:dyDescent="0.25">
      <c r="A11" s="28" t="s">
        <v>144</v>
      </c>
      <c r="B11" s="29" t="s">
        <v>145</v>
      </c>
      <c r="C11" s="28" t="s">
        <v>146</v>
      </c>
      <c r="D11" s="30" t="s">
        <v>147</v>
      </c>
      <c r="E11" s="30" t="s">
        <v>148</v>
      </c>
      <c r="F11" s="30" t="s">
        <v>149</v>
      </c>
    </row>
    <row r="12" spans="1:6" ht="51" x14ac:dyDescent="0.25">
      <c r="A12" s="28" t="s">
        <v>150</v>
      </c>
      <c r="B12" s="29" t="s">
        <v>151</v>
      </c>
      <c r="C12" s="28" t="s">
        <v>152</v>
      </c>
      <c r="D12" s="30" t="s">
        <v>153</v>
      </c>
      <c r="E12" s="30" t="s">
        <v>154</v>
      </c>
      <c r="F12" s="30" t="s">
        <v>155</v>
      </c>
    </row>
    <row r="13" spans="1:6" ht="63.75" x14ac:dyDescent="0.25">
      <c r="A13" s="28" t="s">
        <v>156</v>
      </c>
      <c r="B13" s="29" t="s">
        <v>157</v>
      </c>
      <c r="C13" s="28" t="s">
        <v>158</v>
      </c>
      <c r="D13" s="30" t="s">
        <v>159</v>
      </c>
      <c r="E13" s="30" t="s">
        <v>160</v>
      </c>
      <c r="F13" s="30" t="s">
        <v>161</v>
      </c>
    </row>
    <row r="14" spans="1:6" ht="38.25" x14ac:dyDescent="0.25">
      <c r="A14" s="28" t="s">
        <v>162</v>
      </c>
      <c r="B14" s="29" t="s">
        <v>163</v>
      </c>
      <c r="C14" s="28" t="s">
        <v>164</v>
      </c>
      <c r="D14" s="30" t="s">
        <v>165</v>
      </c>
      <c r="E14" s="30" t="s">
        <v>166</v>
      </c>
      <c r="F14" s="30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DC63-880C-4C7A-BD99-15B2870A7881}">
  <dimension ref="A1:N13"/>
  <sheetViews>
    <sheetView zoomScale="112" zoomScaleNormal="176" workbookViewId="0">
      <selection activeCell="N16" sqref="N16"/>
    </sheetView>
  </sheetViews>
  <sheetFormatPr defaultRowHeight="15" x14ac:dyDescent="0.25"/>
  <cols>
    <col min="2" max="2" width="10.140625" bestFit="1" customWidth="1"/>
    <col min="3" max="3" width="40.85546875" bestFit="1" customWidth="1"/>
    <col min="4" max="4" width="4" bestFit="1" customWidth="1"/>
    <col min="5" max="5" width="12.28515625" bestFit="1" customWidth="1"/>
    <col min="6" max="6" width="20.42578125" bestFit="1" customWidth="1"/>
    <col min="7" max="7" width="10.140625" customWidth="1"/>
    <col min="8" max="8" width="13.28515625" customWidth="1"/>
    <col min="9" max="9" width="15.42578125" bestFit="1" customWidth="1"/>
    <col min="10" max="10" width="10.140625" bestFit="1" customWidth="1"/>
    <col min="11" max="11" width="13.7109375" bestFit="1" customWidth="1"/>
    <col min="12" max="12" width="10.140625" bestFit="1" customWidth="1"/>
  </cols>
  <sheetData>
    <row r="1" spans="1:14" x14ac:dyDescent="0.25">
      <c r="A1" s="31" t="s">
        <v>102</v>
      </c>
      <c r="B1" s="31" t="s">
        <v>170</v>
      </c>
      <c r="C1" s="31" t="s">
        <v>169</v>
      </c>
      <c r="D1" s="31" t="s">
        <v>168</v>
      </c>
      <c r="E1" s="31" t="s">
        <v>184</v>
      </c>
      <c r="F1" s="31" t="s">
        <v>171</v>
      </c>
      <c r="G1" s="31" t="s">
        <v>176</v>
      </c>
      <c r="H1" s="35" t="s">
        <v>185</v>
      </c>
      <c r="I1" s="35" t="s">
        <v>189</v>
      </c>
      <c r="J1" s="37"/>
      <c r="K1" s="37"/>
    </row>
    <row r="2" spans="1:14" x14ac:dyDescent="0.25">
      <c r="A2" s="38">
        <v>1</v>
      </c>
      <c r="B2" s="38">
        <v>3</v>
      </c>
      <c r="C2" s="38" t="s">
        <v>172</v>
      </c>
      <c r="D2" s="38">
        <v>3</v>
      </c>
      <c r="E2" s="39">
        <v>69</v>
      </c>
      <c r="F2" s="38" t="s">
        <v>182</v>
      </c>
      <c r="G2" s="40" t="s">
        <v>180</v>
      </c>
      <c r="H2" s="47"/>
      <c r="I2" s="47"/>
      <c r="J2" s="37"/>
      <c r="K2" s="37"/>
    </row>
    <row r="3" spans="1:14" x14ac:dyDescent="0.25">
      <c r="A3" s="41">
        <v>2</v>
      </c>
      <c r="B3" s="41">
        <v>3</v>
      </c>
      <c r="C3" s="41" t="s">
        <v>173</v>
      </c>
      <c r="D3" s="41">
        <v>3</v>
      </c>
      <c r="E3" s="42">
        <v>29</v>
      </c>
      <c r="F3" s="41" t="s">
        <v>182</v>
      </c>
      <c r="G3" s="43" t="s">
        <v>180</v>
      </c>
      <c r="H3" s="45">
        <v>46213</v>
      </c>
      <c r="I3" s="44" t="s">
        <v>186</v>
      </c>
      <c r="J3" s="37"/>
      <c r="K3" s="37" t="s">
        <v>187</v>
      </c>
    </row>
    <row r="4" spans="1:14" x14ac:dyDescent="0.25">
      <c r="A4" s="38">
        <v>3</v>
      </c>
      <c r="B4" s="38">
        <v>3</v>
      </c>
      <c r="C4" s="38" t="s">
        <v>174</v>
      </c>
      <c r="D4" s="38">
        <v>2</v>
      </c>
      <c r="E4" s="39">
        <v>94</v>
      </c>
      <c r="F4" s="38" t="s">
        <v>182</v>
      </c>
      <c r="G4" s="40" t="s">
        <v>180</v>
      </c>
      <c r="H4" s="38"/>
      <c r="I4" s="38"/>
      <c r="J4" s="37"/>
      <c r="K4" s="37"/>
    </row>
    <row r="5" spans="1:14" x14ac:dyDescent="0.25">
      <c r="A5" s="41">
        <v>4</v>
      </c>
      <c r="B5" s="41">
        <v>3</v>
      </c>
      <c r="C5" s="41" t="s">
        <v>175</v>
      </c>
      <c r="D5" s="41">
        <v>2</v>
      </c>
      <c r="E5" s="42">
        <v>74</v>
      </c>
      <c r="F5" s="41" t="s">
        <v>182</v>
      </c>
      <c r="G5" s="43" t="s">
        <v>180</v>
      </c>
      <c r="H5" s="34"/>
      <c r="I5" s="44"/>
      <c r="J5" s="37"/>
      <c r="K5" s="37"/>
    </row>
    <row r="6" spans="1:14" x14ac:dyDescent="0.25">
      <c r="A6" s="38">
        <v>5</v>
      </c>
      <c r="B6" s="38">
        <v>3</v>
      </c>
      <c r="C6" s="38" t="s">
        <v>177</v>
      </c>
      <c r="D6" s="38">
        <v>1</v>
      </c>
      <c r="E6" s="39">
        <v>219</v>
      </c>
      <c r="F6" s="38" t="s">
        <v>182</v>
      </c>
      <c r="G6" s="40" t="s">
        <v>180</v>
      </c>
      <c r="H6" s="46">
        <v>46213</v>
      </c>
      <c r="I6" s="46"/>
      <c r="J6" s="37"/>
      <c r="K6" s="37"/>
    </row>
    <row r="7" spans="1:14" x14ac:dyDescent="0.25">
      <c r="A7" s="41"/>
      <c r="B7" s="41"/>
      <c r="C7" s="41"/>
      <c r="D7" s="41"/>
      <c r="E7" s="42"/>
      <c r="F7" s="41"/>
      <c r="G7" s="41"/>
      <c r="H7" s="34"/>
      <c r="I7" s="44"/>
      <c r="J7" s="37"/>
      <c r="K7" s="37"/>
    </row>
    <row r="8" spans="1:14" x14ac:dyDescent="0.25">
      <c r="A8" s="38">
        <v>6</v>
      </c>
      <c r="B8" s="38">
        <v>3</v>
      </c>
      <c r="C8" s="38" t="s">
        <v>178</v>
      </c>
      <c r="D8" s="38">
        <v>3</v>
      </c>
      <c r="E8" s="39">
        <v>65</v>
      </c>
      <c r="F8" s="38" t="s">
        <v>179</v>
      </c>
      <c r="G8" s="40" t="s">
        <v>180</v>
      </c>
      <c r="H8" s="46">
        <v>46213</v>
      </c>
      <c r="I8" s="46"/>
      <c r="J8" s="37"/>
      <c r="K8" s="37" t="s">
        <v>188</v>
      </c>
    </row>
    <row r="9" spans="1:14" x14ac:dyDescent="0.25">
      <c r="A9" s="34"/>
      <c r="B9" s="44"/>
      <c r="C9" s="44"/>
      <c r="D9" s="44"/>
      <c r="E9" s="44"/>
      <c r="F9" s="44"/>
      <c r="G9" s="44"/>
      <c r="H9" s="44"/>
      <c r="I9" s="44"/>
      <c r="J9" s="37"/>
      <c r="K9" s="37"/>
    </row>
    <row r="10" spans="1:14" x14ac:dyDescent="0.25">
      <c r="F10" s="32" t="s">
        <v>181</v>
      </c>
      <c r="G10" s="33">
        <f>SUMPRODUCT($D$2:$D$8,$E$2:$E$8)</f>
        <v>1044</v>
      </c>
    </row>
    <row r="13" spans="1:14" x14ac:dyDescent="0.25">
      <c r="N13" t="s">
        <v>183</v>
      </c>
    </row>
  </sheetData>
  <hyperlinks>
    <hyperlink ref="G4" r:id="rId1" xr:uid="{8965FEC0-8122-4167-90F4-C3780CE3A5C5}"/>
    <hyperlink ref="G6" r:id="rId2" xr:uid="{0A9A04AE-D73D-4785-8B94-5732DA2EFFEB}"/>
    <hyperlink ref="G8" r:id="rId3" xr:uid="{60429B27-A38D-454F-B173-6703031A5589}"/>
    <hyperlink ref="G5" r:id="rId4" xr:uid="{E33B65D7-C9FE-467E-983C-E08A1BC8FA65}"/>
    <hyperlink ref="G3" r:id="rId5" xr:uid="{CC084A84-89C0-427D-8ED6-632FF174051C}"/>
    <hyperlink ref="G2" r:id="rId6" xr:uid="{F38C562C-0EF3-442B-96D4-1589B8CCB4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Torque Budget</vt:lpstr>
      <vt:lpstr>Timeline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 JoonHun Oh</cp:lastModifiedBy>
  <cp:revision>0</cp:revision>
  <dcterms:created xsi:type="dcterms:W3CDTF">2026-07-11T00:43:21Z</dcterms:created>
  <dcterms:modified xsi:type="dcterms:W3CDTF">2026-07-17T02:54:35Z</dcterms:modified>
  <dc:language>en-US</dc:language>
</cp:coreProperties>
</file>