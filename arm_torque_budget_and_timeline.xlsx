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than\Downloads\"/>
    </mc:Choice>
  </mc:AlternateContent>
  <xr:revisionPtr revIDLastSave="0" documentId="13_ncr:1_{6229C372-2A3E-41CF-8D58-A146414E86EE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Torque Budget" sheetId="1" r:id="rId1"/>
    <sheet name="BOM" sheetId="3" r:id="rId2"/>
    <sheet name="Timeline" sheetId="2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0" i="3" l="1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F50" i="1" l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<sst xmlns="http://schemas.openxmlformats.org/spreadsheetml/2006/main" count="219" uniqueCount="189">
  <si>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</si>
  <si>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</si>
  <si>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</si>
  <si>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</si>
  <si>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</si>
  <si>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</si>
  <si>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</si>
  <si>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</si>
  <si>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</si>
  <si>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</si>
  <si>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</si>
  <si>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</si>
  <si>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</si>
  <si>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</si>
  <si>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</si>
  <si>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</si>
  <si>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</si>
  <si>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</si>
  <si>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</si>
  <si>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</si>
  <si>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</si>
  <si>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</si>
  <si>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</si>
  <si>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</si>
  <si>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</si>
  <si>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</si>
  <si>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</si>
  <si>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</si>
  <si>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</si>
  <si>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</si>
  <si>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</si>
  <si>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</si>
  <si>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</si>
  <si>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</si>
  <si>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</si>
  <si>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</si>
  <si>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</si>
  <si>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</si>
  <si>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</si>
  <si>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</si>
  <si>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</si>
  <si>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</si>
  <si>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</si>
  <si>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</si>
  <si>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</si>
  <si>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</si>
  <si>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</si>
  <si>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</si>
  <si>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</si>
  <si>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</si>
  <si>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</si>
  <si>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</si>
  <si>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</si>
  <si>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</si>
  <si>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</si>
  <si>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</si>
  <si>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</si>
  <si>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</si>
  <si>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</si>
  <si>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</si>
  <si>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</si>
  <si>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</si>
  <si>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</si>
  <si>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</si>
  <si>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</si>
  <si>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</si>
  <si>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</si>
  <si>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</si>
  <si>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</si>
  <si>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</si>
  <si>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</si>
  <si>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</si>
  <si>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</si>
  <si>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</si>
  <si>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</si>
  <si>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</si>
  <si>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</si>
  <si>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</si>
  <si>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</si>
  <si>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</si>
  <si>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</si>
  <si>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</si>
  <si>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</si>
  <si>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</si>
  <si>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</si>
  <si>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</si>
  <si>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</si>
  <si>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</si>
  <si>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</si>
  <si>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</si>
  <si>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</si>
  <si>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</si>
  <si>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</si>
  <si>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</si>
  <si>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</si>
  <si>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</si>
  <si>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</si>
  <si>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</si>
  <si>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</si>
  <si>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</si>
  <si>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</si>
  <si>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</si>
  <si>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</si>
  <si>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</si>
  <si>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</si>
  <si>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</si>
  <si>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</si>
  <si>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</si>
  <si>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</si>
  <si>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</si>
  <si>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</si>
  <si>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</si>
  <si>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</si>
  <si>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</si>
  <si>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</si>
  <si>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</si>
  <si>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</si>
  <si>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</si>
  <si>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</si>
  <si>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</si>
  <si>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</si>
  <si>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</si>
  <si>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</si>
  <si>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</si>
  <si>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</si>
  <si>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</si>
  <si>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</si>
  <si>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</si>
  <si>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</si>
  <si>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</si>
  <si>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</si>
  <si>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</si>
  <si>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</si>
  <si>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</si>
  <si>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</si>
  <si>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</si>
  <si>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</si>
  <si>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</si>
  <si>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</si>
  <si>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</si>
  <si>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</si>
  <si>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</si>
  <si>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</si>
  <si>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</si>
  <si>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</si>
  <si>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</si>
  <si>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</si>
  <si>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</si>
  <si>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</si>
  <si>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</si>
  <si>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</si>
  <si>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</si>
  <si>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</si>
  <si>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</si>
  <si>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</si>
  <si>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</si>
  <si>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</si>
  <si>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</si>
  <si>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</si>
  <si>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</si>
  <si>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</si>
  <si>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</si>
  <si>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</si>
  <si>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</si>
  <si>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</si>
  <si>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</si>
  <si>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</si>
  <si>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</si>
  <si>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</si>
  <si>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</si>
  <si>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</si>
  <si>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</si>
  <si>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</si>
  <si>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</si>
  <si>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</si>
  <si>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</si>
  <si>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</si>
  <si>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</si>
  <si>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</si>
  <si>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</si>
  <si>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</si>
  <si>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</si>
  <si>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</si>
  <si>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s</t>
  </si>
  <si>
    <t>Price per Unit</t>
  </si>
  <si>
    <t>Ordered On</t>
  </si>
  <si>
    <t>(only ordered 1)</t>
  </si>
  <si>
    <t>shipping 11.07</t>
  </si>
  <si>
    <t>shipping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</si>
</sst>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"/>
    <numFmt numFmtId="165" formatCode="0.0"/>
  </numFmts>
  <fonts count="10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0" fontId="0" fillId="0" borderId="2" xfId="0" applyBorder="1"/>
    <xf numFmtId="44" fontId="0" fillId="0" borderId="2" xfId="1" applyFont="1" applyBorder="1"/>
    <xf numFmtId="0" fontId="0" fillId="7" borderId="2" xfId="0" applyFill="1" applyBorder="1" applyAlignment="1">
      <alignment horizontal="center" vertical="center"/>
    </xf>
    <xf numFmtId="44" fontId="0" fillId="7" borderId="2" xfId="1" applyFont="1" applyFill="1" applyBorder="1" applyAlignment="1">
      <alignment horizontal="center" vertical="center"/>
    </xf>
    <xf numFmtId="0" fontId="8" fillId="7" borderId="2" xfId="2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44" fontId="0" fillId="8" borderId="2" xfId="1" applyFont="1" applyFill="1" applyBorder="1" applyAlignment="1">
      <alignment horizontal="center" vertical="center"/>
    </xf>
    <xf numFmtId="0" fontId="8" fillId="8" borderId="2" xfId="2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" fillId="2" borderId="0" xfId="0" applyFont="1" applyFill="1"/>
    <xf numFmtId="0" fontId="9" fillId="6" borderId="3" xfId="0" applyFont="1" applyFill="1" applyBorder="1" applyAlignment="1">
      <alignment horizontal="center"/>
    </xf>
    <xf numFmtId="14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" Type="http://schemas.openxmlformats.org/officeDocument/2006/relationships/hyperlink" Target="https://mjbots.com/products/moteus-r4-11?variant=41896124154017" TargetMode="External"/><Relationship Id="rId6" Type="http://schemas.openxmlformats.org/officeDocument/2006/relationships/hyperlink" Target="https://mjbots.com/products/moteus-c1?variant=43658365927585" TargetMode="External"/><Relationship Id="rId5" Type="http://schemas.openxmlformats.org/officeDocument/2006/relationships/hyperlink" Target="https://mjbots.com/products/moteus-heat-spreader?variant=37322050437281" TargetMode="External"/><Relationship Id="rId4" Type="http://schemas.openxmlformats.org/officeDocument/2006/relationships/hyperlink" Target="https://mjbots.com/products/mj5208?variant=372626799003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topLeftCell="A18" zoomScaleNormal="100" workbookViewId="0">
      <selection activeCell="E17" sqref="E17"/>
    </sheetView>
  </sheetViews>
  <sheetFormatPr defaultColWidth="8.6640625" defaultRowHeight="14.25" x14ac:dyDescent="0.45"/>
  <cols>
    <col min="1" max="1" width="45.8632812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899999999999999" x14ac:dyDescent="0.5">
      <c r="A1" s="1" t="s">
        <v>0</v>
      </c>
    </row>
    <row r="2" spans="1:9" x14ac:dyDescent="0.45">
      <c r="A2" s="2" t="s">
        <v>1</v>
      </c>
    </row>
    <row r="4" spans="1:9" x14ac:dyDescent="0.45">
      <c r="A4" s="42" t="s">
        <v>2</v>
      </c>
      <c r="B4" s="42"/>
      <c r="C4" s="42"/>
      <c r="D4" s="42"/>
      <c r="E4" s="42"/>
      <c r="F4" s="42"/>
      <c r="G4" s="42"/>
      <c r="H4" s="42"/>
      <c r="I4" s="42"/>
    </row>
    <row r="5" spans="1:9" x14ac:dyDescent="0.45">
      <c r="A5" s="3" t="s">
        <v>3</v>
      </c>
      <c r="B5" s="4">
        <v>0.16</v>
      </c>
      <c r="C5" s="3" t="s">
        <v>4</v>
      </c>
    </row>
    <row r="6" spans="1:9" x14ac:dyDescent="0.45">
      <c r="A6" s="3" t="s">
        <v>5</v>
      </c>
      <c r="B6" s="4">
        <v>0.16</v>
      </c>
      <c r="C6" s="3" t="s">
        <v>4</v>
      </c>
    </row>
    <row r="7" spans="1:9" x14ac:dyDescent="0.4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4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4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45">
      <c r="A11" s="42" t="s">
        <v>12</v>
      </c>
      <c r="B11" s="42"/>
      <c r="C11" s="42"/>
      <c r="D11" s="42"/>
      <c r="E11" s="42"/>
      <c r="F11" s="42"/>
      <c r="G11" s="42"/>
      <c r="H11" s="42"/>
      <c r="I11" s="42"/>
    </row>
    <row r="12" spans="1:9" x14ac:dyDescent="0.4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4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4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4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4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45">
      <c r="A17" s="3" t="s">
        <v>24</v>
      </c>
      <c r="B17" s="4">
        <v>0.06</v>
      </c>
      <c r="C17" s="3" t="s">
        <v>14</v>
      </c>
    </row>
    <row r="18" spans="1:9" x14ac:dyDescent="0.4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45">
      <c r="A20" s="42" t="s">
        <v>27</v>
      </c>
      <c r="B20" s="42"/>
      <c r="C20" s="42"/>
      <c r="D20" s="42"/>
      <c r="E20" s="42"/>
      <c r="F20" s="42"/>
      <c r="G20" s="42"/>
      <c r="H20" s="42"/>
      <c r="I20" s="42"/>
    </row>
    <row r="21" spans="1:9" x14ac:dyDescent="0.45">
      <c r="A21" s="3" t="s">
        <v>28</v>
      </c>
      <c r="B21" s="7">
        <v>9.81</v>
      </c>
      <c r="C21" s="3" t="s">
        <v>29</v>
      </c>
    </row>
    <row r="22" spans="1:9" x14ac:dyDescent="0.45">
      <c r="A22" s="3" t="s">
        <v>30</v>
      </c>
      <c r="B22" s="8">
        <v>1.5</v>
      </c>
      <c r="I22" s="2" t="s">
        <v>31</v>
      </c>
    </row>
    <row r="24" spans="1:9" x14ac:dyDescent="0.45">
      <c r="A24" s="42" t="s">
        <v>32</v>
      </c>
      <c r="B24" s="42"/>
      <c r="C24" s="42"/>
      <c r="D24" s="42"/>
      <c r="E24" s="42"/>
      <c r="F24" s="42"/>
      <c r="G24" s="42"/>
      <c r="H24" s="42"/>
      <c r="I24" s="42"/>
    </row>
    <row r="25" spans="1:9" x14ac:dyDescent="0.4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4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4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4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4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4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4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4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4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45">
      <c r="A34" s="3" t="s">
        <v>55</v>
      </c>
      <c r="B34" s="10">
        <v>0.85</v>
      </c>
      <c r="C34" s="3" t="s">
        <v>42</v>
      </c>
    </row>
    <row r="36" spans="1:9" x14ac:dyDescent="0.45">
      <c r="A36" s="42" t="s">
        <v>56</v>
      </c>
      <c r="B36" s="42"/>
      <c r="C36" s="42"/>
      <c r="D36" s="42"/>
      <c r="E36" s="42"/>
      <c r="F36" s="42"/>
      <c r="G36" s="42"/>
      <c r="H36" s="42"/>
      <c r="I36" s="42"/>
    </row>
    <row r="37" spans="1:9" ht="26.25" x14ac:dyDescent="0.4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4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4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4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4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4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4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4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4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45">
      <c r="A47" s="42" t="s">
        <v>72</v>
      </c>
      <c r="B47" s="42"/>
      <c r="C47" s="42"/>
      <c r="D47" s="42"/>
      <c r="E47" s="42"/>
      <c r="F47" s="42"/>
      <c r="G47" s="42"/>
      <c r="H47" s="42"/>
      <c r="I47" s="42"/>
    </row>
    <row r="48" spans="1:9" x14ac:dyDescent="0.45">
      <c r="A48" s="3" t="s">
        <v>73</v>
      </c>
      <c r="F48" s="20">
        <f>B15*$B$21*(B7/2)</f>
        <v>5.8860000000000003E-2</v>
      </c>
    </row>
    <row r="49" spans="1:9" x14ac:dyDescent="0.45">
      <c r="A49" s="3" t="s">
        <v>74</v>
      </c>
      <c r="F49" s="20">
        <f>B16*$B$21*B7</f>
        <v>0.15696000000000002</v>
      </c>
    </row>
    <row r="50" spans="1:9" x14ac:dyDescent="0.45">
      <c r="A50" s="21" t="s">
        <v>75</v>
      </c>
      <c r="F50" s="22">
        <f>F48+F49</f>
        <v>0.21582000000000001</v>
      </c>
      <c r="I50" s="2" t="s">
        <v>76</v>
      </c>
    </row>
    <row r="52" spans="1:9" x14ac:dyDescent="0.45">
      <c r="A52" s="42" t="s">
        <v>77</v>
      </c>
      <c r="B52" s="42"/>
      <c r="C52" s="42"/>
      <c r="D52" s="42"/>
      <c r="E52" s="42"/>
      <c r="F52" s="42"/>
      <c r="G52" s="42"/>
      <c r="H52" s="42"/>
      <c r="I52" s="42"/>
    </row>
    <row r="53" spans="1:9" ht="26.25" x14ac:dyDescent="0.4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4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4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4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4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4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4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45">
      <c r="A61" s="5" t="s">
        <v>93</v>
      </c>
    </row>
    <row r="62" spans="1:9" x14ac:dyDescent="0.45">
      <c r="A62" s="2" t="s">
        <v>94</v>
      </c>
    </row>
    <row r="63" spans="1:9" x14ac:dyDescent="0.45">
      <c r="A63" s="2" t="s">
        <v>95</v>
      </c>
    </row>
    <row r="64" spans="1:9" x14ac:dyDescent="0.45">
      <c r="A64" s="2" t="s">
        <v>96</v>
      </c>
    </row>
    <row r="65" spans="1:1" x14ac:dyDescent="0.45">
      <c r="A65" s="2" t="s">
        <v>97</v>
      </c>
    </row>
    <row r="66" spans="1:1" x14ac:dyDescent="0.45">
      <c r="A66" s="2" t="s">
        <v>98</v>
      </c>
    </row>
    <row r="67" spans="1:1" x14ac:dyDescent="0.4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N13"/>
  <sheetViews>
    <sheetView tabSelected="1" zoomScale="112" zoomScaleNormal="176" workbookViewId="0">
      <selection activeCell="K9" sqref="K9"/>
    </sheetView>
  </sheetViews>
  <sheetFormatPr defaultRowHeight="14.25" x14ac:dyDescent="0.45"/>
  <cols>
    <col min="2" max="2" width="10.1328125" bestFit="1" customWidth="1"/>
    <col min="3" max="3" width="40.86328125" bestFit="1" customWidth="1"/>
    <col min="4" max="4" width="4" bestFit="1" customWidth="1"/>
    <col min="5" max="5" width="12.33203125" bestFit="1" customWidth="1"/>
    <col min="6" max="6" width="20.46484375" bestFit="1" customWidth="1"/>
    <col min="7" max="7" width="10.1328125" customWidth="1"/>
    <col min="8" max="8" width="9.3984375" bestFit="1" customWidth="1"/>
    <col min="10" max="10" width="10.1328125" bestFit="1" customWidth="1"/>
    <col min="12" max="12" width="10.1328125" bestFit="1" customWidth="1"/>
  </cols>
  <sheetData>
    <row r="1" spans="1:14" x14ac:dyDescent="0.4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184</v>
      </c>
      <c r="F1" s="31" t="s">
        <v>171</v>
      </c>
      <c r="G1" s="31" t="s">
        <v>176</v>
      </c>
      <c r="H1" s="43" t="s">
        <v>185</v>
      </c>
    </row>
    <row r="2" spans="1:14" x14ac:dyDescent="0.45">
      <c r="A2" s="35">
        <v>1</v>
      </c>
      <c r="B2" s="35">
        <v>3</v>
      </c>
      <c r="C2" s="35" t="s">
        <v>172</v>
      </c>
      <c r="D2" s="35">
        <v>3</v>
      </c>
      <c r="E2" s="36">
        <v>69</v>
      </c>
      <c r="F2" s="35" t="s">
        <v>182</v>
      </c>
      <c r="G2" s="37" t="s">
        <v>180</v>
      </c>
    </row>
    <row r="3" spans="1:14" x14ac:dyDescent="0.45">
      <c r="A3" s="38">
        <v>2</v>
      </c>
      <c r="B3" s="38">
        <v>3</v>
      </c>
      <c r="C3" s="38" t="s">
        <v>173</v>
      </c>
      <c r="D3" s="38">
        <v>3</v>
      </c>
      <c r="E3" s="39">
        <v>29</v>
      </c>
      <c r="F3" s="38" t="s">
        <v>182</v>
      </c>
      <c r="G3" s="40" t="s">
        <v>180</v>
      </c>
      <c r="H3" s="44">
        <v>46213</v>
      </c>
      <c r="I3" t="s">
        <v>186</v>
      </c>
      <c r="K3" t="s">
        <v>187</v>
      </c>
    </row>
    <row r="4" spans="1:14" x14ac:dyDescent="0.45">
      <c r="A4" s="35">
        <v>3</v>
      </c>
      <c r="B4" s="35">
        <v>3</v>
      </c>
      <c r="C4" s="35" t="s">
        <v>174</v>
      </c>
      <c r="D4" s="35">
        <v>2</v>
      </c>
      <c r="E4" s="36">
        <v>94</v>
      </c>
      <c r="F4" s="35" t="s">
        <v>182</v>
      </c>
      <c r="G4" s="37" t="s">
        <v>180</v>
      </c>
    </row>
    <row r="5" spans="1:14" x14ac:dyDescent="0.45">
      <c r="A5" s="38">
        <v>4</v>
      </c>
      <c r="B5" s="38">
        <v>3</v>
      </c>
      <c r="C5" s="38" t="s">
        <v>175</v>
      </c>
      <c r="D5" s="38">
        <v>2</v>
      </c>
      <c r="E5" s="39">
        <v>74</v>
      </c>
      <c r="F5" s="38" t="s">
        <v>182</v>
      </c>
      <c r="G5" s="40" t="s">
        <v>180</v>
      </c>
    </row>
    <row r="6" spans="1:14" x14ac:dyDescent="0.45">
      <c r="A6" s="35">
        <v>5</v>
      </c>
      <c r="B6" s="35">
        <v>3</v>
      </c>
      <c r="C6" s="35" t="s">
        <v>177</v>
      </c>
      <c r="D6" s="35">
        <v>1</v>
      </c>
      <c r="E6" s="36">
        <v>219</v>
      </c>
      <c r="F6" s="35" t="s">
        <v>182</v>
      </c>
      <c r="G6" s="37" t="s">
        <v>180</v>
      </c>
      <c r="H6" s="44">
        <v>46213</v>
      </c>
    </row>
    <row r="7" spans="1:14" x14ac:dyDescent="0.45">
      <c r="A7" s="38"/>
      <c r="B7" s="38"/>
      <c r="C7" s="38"/>
      <c r="D7" s="38"/>
      <c r="E7" s="39"/>
      <c r="F7" s="38"/>
      <c r="G7" s="38"/>
    </row>
    <row r="8" spans="1:14" x14ac:dyDescent="0.45">
      <c r="A8" s="35">
        <v>6</v>
      </c>
      <c r="B8" s="35">
        <v>3</v>
      </c>
      <c r="C8" s="35" t="s">
        <v>178</v>
      </c>
      <c r="D8" s="35">
        <v>3</v>
      </c>
      <c r="E8" s="36">
        <v>65</v>
      </c>
      <c r="F8" s="35" t="s">
        <v>179</v>
      </c>
      <c r="G8" s="37" t="s">
        <v>180</v>
      </c>
      <c r="H8" s="44">
        <v>46213</v>
      </c>
      <c r="K8" t="s">
        <v>188</v>
      </c>
    </row>
    <row r="9" spans="1:14" x14ac:dyDescent="0.45">
      <c r="A9" s="41"/>
      <c r="B9" s="33"/>
      <c r="C9" s="33"/>
      <c r="D9" s="33"/>
      <c r="E9" s="33"/>
      <c r="F9" s="33"/>
      <c r="G9" s="33"/>
    </row>
    <row r="10" spans="1:14" x14ac:dyDescent="0.45">
      <c r="F10" s="32" t="s">
        <v>181</v>
      </c>
      <c r="G10" s="34">
        <f>SUMPRODUCT($D$2:$D$8,$E$2:$E$8)</f>
        <v>1044</v>
      </c>
    </row>
    <row r="13" spans="1:14" x14ac:dyDescent="0.45">
      <c r="N13" t="s">
        <v>183</v>
      </c>
    </row>
  </sheetData>
  <hyperlinks>
    <hyperlink ref="G4" r:id="rId1" xr:uid="{8965FEC0-8122-4167-90F4-C3780CE3A5C5}"/>
    <hyperlink ref="G6" r:id="rId2" xr:uid="{0A9A04AE-D73D-4785-8B94-5732DA2EFFEB}"/>
    <hyperlink ref="G8" r:id="rId3" xr:uid="{60429B27-A38D-454F-B173-6703031A5589}"/>
    <hyperlink ref="G5" r:id="rId4" xr:uid="{E33B65D7-C9FE-467E-983C-E08A1BC8FA65}"/>
    <hyperlink ref="G3" r:id="rId5" xr:uid="{CC084A84-89C0-427D-8ED6-632FF174051C}"/>
    <hyperlink ref="G2" r:id="rId6" xr:uid="{F38C562C-0EF3-442B-96D4-1589B8CCB4D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/>
  </sheetViews>
  <sheetFormatPr defaultColWidth="8.6640625" defaultRowHeight="14.25" x14ac:dyDescent="0.4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899999999999999" x14ac:dyDescent="0.5">
      <c r="A1" s="1" t="s">
        <v>100</v>
      </c>
    </row>
    <row r="2" spans="1:6" x14ac:dyDescent="0.45">
      <c r="A2" s="2" t="s">
        <v>101</v>
      </c>
    </row>
    <row r="4" spans="1:6" x14ac:dyDescent="0.4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4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51" x14ac:dyDescent="0.4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4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4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51" x14ac:dyDescent="0.4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38.25" x14ac:dyDescent="0.4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4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4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4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4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BOM</vt:lpstr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Ethan Oh</cp:lastModifiedBy>
  <cp:revision>0</cp:revision>
  <dcterms:created xsi:type="dcterms:W3CDTF">2026-07-11T00:43:21Z</dcterms:created>
  <dcterms:modified xsi:type="dcterms:W3CDTF">2026-07-11T03:30:35Z</dcterms:modified>
  <dc:language>en-US</dc:language>
</cp:coreProperties>
</file>